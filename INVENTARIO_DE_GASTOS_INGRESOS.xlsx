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INGRESOS FIJOS" sheetId="1" state="visible" r:id="rId3"/>
    <sheet name="RESUMEN GASTOS" sheetId="2" state="visible" r:id="rId4"/>
    <sheet name="DINERO CAJERO" sheetId="3" state="visible" r:id="rId5"/>
    <sheet name="GASTOS HIPOTECA-PRESTAMOS" sheetId="4" state="visible" r:id="rId6"/>
    <sheet name="GASTOS-SUPERMERCADO" sheetId="5" state="visible" r:id="rId7"/>
    <sheet name="GASTOS DE ROPA-CALZADO" sheetId="6" state="visible" r:id="rId8"/>
    <sheet name="GASTOS-TARJETA CREDITO" sheetId="7" state="visible" r:id="rId9"/>
    <sheet name="GASTOS-SALUD" sheetId="8" state="visible" r:id="rId10"/>
    <sheet name="GASTO-GASOLINA" sheetId="9" state="visible" r:id="rId11"/>
    <sheet name="GASTO RESTAURANT" sheetId="10" state="visible" r:id="rId12"/>
    <sheet name="GASTO BIENESTAR Y BELLEZA" sheetId="11" state="visible" r:id="rId13"/>
    <sheet name="GASTOS SEGUROS-MUTUAS" sheetId="12" state="visible" r:id="rId14"/>
    <sheet name="GASTOS TRANSFERENCIAS" sheetId="13" state="visible" r:id="rId15"/>
    <sheet name="SEGURO COCHES" sheetId="14" state="visible" r:id="rId16"/>
    <sheet name="GRAFICAS" sheetId="15" state="visible" r:id="rId17"/>
  </sheets>
  <definedNames>
    <definedName function="false" hidden="true" localSheetId="4" name="_xlnm._FilterDatabase" vbProcedure="false">'GASTOS-SUPERMERCADO'!$A$1:$F$1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Sueldo neto mes vencido (828,19 € (Nomina) -pensión corto plazo  1613,97  (Paternidad Charito en Euros) -- Cuenta Edgar
</t>
        </r>
      </text>
    </comment>
    <comment ref="C4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pago recibido el 25 de agosto</t>
        </r>
      </text>
    </comment>
    <comment ref="E5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Esperemos el pago de hacienda por esta fecha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yayo devuelve cuando llegue de Ecuador, lo más próximo sera en septiembre, de las cuales 270 euros corresponden a las bandas. Y supongo que comprará algo más como recuerdo del viaje.</t>
        </r>
      </text>
    </comment>
  </commentList>
</comments>
</file>

<file path=xl/sharedStrings.xml><?xml version="1.0" encoding="utf-8"?>
<sst xmlns="http://schemas.openxmlformats.org/spreadsheetml/2006/main" count="589" uniqueCount="203">
  <si>
    <t xml:space="preserve">INGRESOS FIJOS MENSUALES MES VENCIDO</t>
  </si>
  <si>
    <t xml:space="preserve">TOTAL AÑO</t>
  </si>
  <si>
    <t xml:space="preserve">Sueldo pago Proaguas</t>
  </si>
  <si>
    <t xml:space="preserve">Sueldo Seguridad social paternidad</t>
  </si>
  <si>
    <t xml:space="preserve">IMV (Ingreso Mínimo Vital) -- Cuenta  con efecto del 04/05/2026 CUENTA MELANIE</t>
  </si>
  <si>
    <t xml:space="preserve">Devolución IRPF 2025 (puntual) (Aun no esta ingresado)</t>
  </si>
  <si>
    <t xml:space="preserve">**TOTAL INGRESOS**</t>
  </si>
  <si>
    <t xml:space="preserve">Tipo de gasto</t>
  </si>
  <si>
    <t xml:space="preserve">GASTOS</t>
  </si>
  <si>
    <t xml:space="preserve">PRESUPUESTO</t>
  </si>
  <si>
    <t xml:space="preserve">REAL GASTADO</t>
  </si>
  <si>
    <t xml:space="preserve">SOBRANTE / SOBREGASTO</t>
  </si>
  <si>
    <t xml:space="preserve">% CONSUMIDO</t>
  </si>
  <si>
    <t xml:space="preserve">Fijo</t>
  </si>
  <si>
    <t xml:space="preserve">GASTOS EN HIPOTECAS Y PRESTAMOS</t>
  </si>
  <si>
    <t xml:space="preserve">GASTOS DE SEGUROS Y MUTUAS</t>
  </si>
  <si>
    <t xml:space="preserve">Aleatorio</t>
  </si>
  <si>
    <t xml:space="preserve">GASTOS DE SUPERMERCADO</t>
  </si>
  <si>
    <t xml:space="preserve">GASTOS DE GASOLINA</t>
  </si>
  <si>
    <t xml:space="preserve">GASTOS DE FARMACIA</t>
  </si>
  <si>
    <t xml:space="preserve">GASTOS DE RESTAURANTE</t>
  </si>
  <si>
    <t xml:space="preserve">GASTO DE BIENESTAR Y BELLEZA</t>
  </si>
  <si>
    <t xml:space="preserve">DINERO CAJERO</t>
  </si>
  <si>
    <t xml:space="preserve">GASTOS DE TRANSFERENCIA</t>
  </si>
  <si>
    <t xml:space="preserve">GASTOS DE ROPA Y CALZADO</t>
  </si>
  <si>
    <t xml:space="preserve">PAGO DE TARJETA DE CREDITO PAGADO MES JULIO</t>
  </si>
  <si>
    <t xml:space="preserve">PRESTAMO</t>
  </si>
  <si>
    <t xml:space="preserve">PRESTAMO YAYO (TARJETA DE CREDITO) ENVIO A ECUADOR</t>
  </si>
  <si>
    <t xml:space="preserve">TOTAL GASTOS Y PRESTAMOS</t>
  </si>
  <si>
    <t xml:space="preserve">TOTAL GASTOS MES PROPIOS (FIJOS+ ALEATORIOS)</t>
  </si>
  <si>
    <t xml:space="preserve">TOTAL PRESPUESTO MENSUAL</t>
  </si>
  <si>
    <t xml:space="preserve">FECHA</t>
  </si>
  <si>
    <t xml:space="preserve">SEMANA</t>
  </si>
  <si>
    <t xml:space="preserve">CONCEPTO</t>
  </si>
  <si>
    <t xml:space="preserve">IMPORTE</t>
  </si>
  <si>
    <t xml:space="preserve">MEDIO_PAGO</t>
  </si>
  <si>
    <t xml:space="preserve">TIPO</t>
  </si>
  <si>
    <t xml:space="preserve">Semana 2</t>
  </si>
  <si>
    <t xml:space="preserve">CAJERO CAIXA OF 5694</t>
  </si>
  <si>
    <t xml:space="preserve">Debit</t>
  </si>
  <si>
    <t xml:space="preserve">GASTOS DE ENSAYO EN CALLOSA D'EN SARRIÀ</t>
  </si>
  <si>
    <t xml:space="preserve">Semana 4</t>
  </si>
  <si>
    <t xml:space="preserve">CAJERO CAIXA OF 2251</t>
  </si>
  <si>
    <t xml:space="preserve">PAGO DE GARAJE 45 EUROS + GARANTIA 45 EUROS</t>
  </si>
  <si>
    <t xml:space="preserve">TOTAL</t>
  </si>
  <si>
    <t xml:space="preserve">**GASTOS FIJOS MENSUALES**</t>
  </si>
  <si>
    <t xml:space="preserve">PRES,38384271241 (HIPOTECA)</t>
  </si>
  <si>
    <t xml:space="preserve">PRES,32214645963 (PRESTAMO PERSONAL) FALTAN 3 RECIBOS</t>
  </si>
  <si>
    <t xml:space="preserve">RECIBO PAGO PRESTAMO SANTANDER CONSUMER FINANCE (COCHE KIA STONIC)</t>
  </si>
  <si>
    <t xml:space="preserve">**SUBTOTAL GASTOS HIPOTECA PRESTAMO</t>
  </si>
  <si>
    <t xml:space="preserve">**RECIBOS DOMICILIADOS EN BBVA*</t>
  </si>
  <si>
    <t xml:space="preserve">Luz factura de julio (BBVA) (PAGADO POR BIZUM CUENTA FABIAN)- DINERO TRANSFERENCIA DE MELANIE</t>
  </si>
  <si>
    <t xml:space="preserve">Luz factura de agosto (BBVA) (PAGADO POR RECIBO DE LUZ CUENTA FABIAN) TRANFERENCIA DINERO DE MELANIE</t>
  </si>
  <si>
    <t xml:space="preserve">Agua (prorrateado)</t>
  </si>
  <si>
    <t xml:space="preserve">Internet + 3 móviles (CUENTA BBVA) PAGADO CON LAS TRANSFERENCIAS A MELANIE PAGO JULIO</t>
  </si>
  <si>
    <t xml:space="preserve">**SUBTOTAL GASTOS FIJOS**</t>
  </si>
  <si>
    <t xml:space="preserve">BANCO</t>
  </si>
  <si>
    <t xml:space="preserve">TITULAR</t>
  </si>
  <si>
    <t xml:space="preserve">Semana 1</t>
  </si>
  <si>
    <t xml:space="preserve">LIDL LA NUCIA</t>
  </si>
  <si>
    <t xml:space="preserve">Supermercado</t>
  </si>
  <si>
    <t xml:space="preserve">Caixa</t>
  </si>
  <si>
    <t xml:space="preserve">FABI</t>
  </si>
  <si>
    <t xml:space="preserve">CONSUM</t>
  </si>
  <si>
    <t xml:space="preserve">LIDL PETRER</t>
  </si>
  <si>
    <t xml:space="preserve">MyCard</t>
  </si>
  <si>
    <t xml:space="preserve">MARKET CANAIMA</t>
  </si>
  <si>
    <t xml:space="preserve">DIA 36126</t>
  </si>
  <si>
    <t xml:space="preserve">BBVA</t>
  </si>
  <si>
    <t xml:space="preserve">MERCADONA</t>
  </si>
  <si>
    <t xml:space="preserve">Mela</t>
  </si>
  <si>
    <t xml:space="preserve">DIA 1790</t>
  </si>
  <si>
    <t xml:space="preserve">CONSUM CALLOSA D'EN SARRIÀ</t>
  </si>
  <si>
    <t xml:space="preserve">8/15/2026</t>
  </si>
  <si>
    <t xml:space="preserve">8/16/2026</t>
  </si>
  <si>
    <t xml:space="preserve">8/17/2026</t>
  </si>
  <si>
    <t xml:space="preserve">Semana 3</t>
  </si>
  <si>
    <t xml:space="preserve">6216 PETRER</t>
  </si>
  <si>
    <t xml:space="preserve">8/18/2026</t>
  </si>
  <si>
    <t xml:space="preserve">LIDL SANTA POLA</t>
  </si>
  <si>
    <t xml:space="preserve">8/19/2026</t>
  </si>
  <si>
    <t xml:space="preserve">8/20/2026</t>
  </si>
  <si>
    <t xml:space="preserve">8/21/2026</t>
  </si>
  <si>
    <t xml:space="preserve">LA RAISA CHUCHES</t>
  </si>
  <si>
    <t xml:space="preserve">8/22/2026</t>
  </si>
  <si>
    <t xml:space="preserve">8/24/2026</t>
  </si>
  <si>
    <t xml:space="preserve">CONSUM ELDA</t>
  </si>
  <si>
    <t xml:space="preserve">8/25/2026</t>
  </si>
  <si>
    <t xml:space="preserve">8/26/2026</t>
  </si>
  <si>
    <t xml:space="preserve">CARNICERIA FAMILIA BARRAL</t>
  </si>
  <si>
    <t xml:space="preserve">8/28/2026</t>
  </si>
  <si>
    <t xml:space="preserve">CHARTER PETRER</t>
  </si>
  <si>
    <t xml:space="preserve">8/29/2026</t>
  </si>
  <si>
    <t xml:space="preserve">Total (euros)</t>
  </si>
  <si>
    <t xml:space="preserve">VALORACIÓN SEMANAL</t>
  </si>
  <si>
    <t xml:space="preserve">GASTADO_REAL</t>
  </si>
  <si>
    <t xml:space="preserve">DIFERENCIA</t>
  </si>
  <si>
    <t xml:space="preserve">%_RENDIMIENTO</t>
  </si>
  <si>
    <t xml:space="preserve">ESTADO</t>
  </si>
  <si>
    <t xml:space="preserve">TOTAL MES</t>
  </si>
  <si>
    <t xml:space="preserve">INDICADORES DE RENDIMIENTO</t>
  </si>
  <si>
    <t xml:space="preserve">VALOR</t>
  </si>
  <si>
    <t xml:space="preserve">Gasto Total Real</t>
  </si>
  <si>
    <t xml:space="preserve">Presupuesto Total</t>
  </si>
  <si>
    <t xml:space="preserve">Ahorro Total</t>
  </si>
  <si>
    <t xml:space="preserve">% Ahorro Mensual</t>
  </si>
  <si>
    <t xml:space="preserve">% Ejecución Presupuesto</t>
  </si>
  <si>
    <t xml:space="preserve">Mejor Semana (menos gasto)</t>
  </si>
  <si>
    <t xml:space="preserve">Peor Semana (más gasto)</t>
  </si>
  <si>
    <t xml:space="preserve">Promedio Gasto Semanal</t>
  </si>
  <si>
    <t xml:space="preserve">TARJETA</t>
  </si>
  <si>
    <t xml:space="preserve">CATEGORIA</t>
  </si>
  <si>
    <t xml:space="preserve">LEFTIES PETRER (PATALON BLANCO)</t>
  </si>
  <si>
    <t xml:space="preserve">DEBIT</t>
  </si>
  <si>
    <t xml:space="preserve">ROPA Y CALZADO</t>
  </si>
  <si>
    <t xml:space="preserve">MODA VICTORIA (CHINOS-MALETA)</t>
  </si>
  <si>
    <t xml:space="preserve">MODA SOPHIE (GITANA-CALZADO COCHO)</t>
  </si>
  <si>
    <t xml:space="preserve">ZARA ALICANTE GRAN VIA (CALZADO MUCHACHAS)</t>
  </si>
  <si>
    <t xml:space="preserve">Total</t>
  </si>
  <si>
    <t xml:space="preserve">PICHINCHA ENVIOS (Préstamo 1)</t>
  </si>
  <si>
    <t xml:space="preserve">Préstamo Temporal</t>
  </si>
  <si>
    <t xml:space="preserve">Prestamo</t>
  </si>
  <si>
    <t xml:space="preserve">PICHINCHA ENVIOS (Préstamo 2)</t>
  </si>
  <si>
    <t xml:space="preserve">REINTEGRO PICHINCHA 1</t>
  </si>
  <si>
    <t xml:space="preserve">Reintegro</t>
  </si>
  <si>
    <t xml:space="preserve">REINTEGRO PICHINCHA 2</t>
  </si>
  <si>
    <t xml:space="preserve">GASTOS CON TARJETA CREDITO</t>
  </si>
  <si>
    <t xml:space="preserve">TOTAL_SEMANA</t>
  </si>
  <si>
    <t xml:space="preserve">PRESTAMOS A YAYO DE TARJETA</t>
  </si>
  <si>
    <t xml:space="preserve">GASTO_REAL</t>
  </si>
  <si>
    <t xml:space="preserve">REINTEGROS</t>
  </si>
  <si>
    <t xml:space="preserve">SALDO_NETO</t>
  </si>
  <si>
    <t xml:space="preserve">INDICADORES POR CATEGORÍA</t>
  </si>
  <si>
    <t xml:space="preserve">TOTAL_GASTO</t>
  </si>
  <si>
    <t xml:space="preserve">FORMULA</t>
  </si>
  <si>
    <t xml:space="preserve">GASOLINA</t>
  </si>
  <si>
    <t xml:space="preserve">Suma solo gasolina</t>
  </si>
  <si>
    <t xml:space="preserve">RESTAURANTE</t>
  </si>
  <si>
    <t xml:space="preserve">Suma solo restaurantes</t>
  </si>
  <si>
    <t xml:space="preserve">TOTAL GASTO REAL</t>
  </si>
  <si>
    <t xml:space="preserve">Suma de todas las categorías reales</t>
  </si>
  <si>
    <t xml:space="preserve">PRÉSTAMOS TOTALES</t>
  </si>
  <si>
    <t xml:space="preserve">Suma préstamos solicitados</t>
  </si>
  <si>
    <t xml:space="preserve">REINTEGROS TOTALES</t>
  </si>
  <si>
    <t xml:space="preserve">Suma reintegros (negativos)</t>
  </si>
  <si>
    <t xml:space="preserve">SALDO PRÉSTAMOS</t>
  </si>
  <si>
    <t xml:space="preserve">Debe ser 0 si se reintegró todo</t>
  </si>
  <si>
    <t xml:space="preserve">LÍMITE MYCARD UTILIZADO</t>
  </si>
  <si>
    <t xml:space="preserve">Solo gasto real (no préstamos)</t>
  </si>
  <si>
    <t xml:space="preserve">FCIA MARI PLAZA MAYOR</t>
  </si>
  <si>
    <t xml:space="preserve">Salud</t>
  </si>
  <si>
    <t xml:space="preserve">FARMACIA HORTENSIA RICO</t>
  </si>
  <si>
    <t xml:space="preserve">MEDIO-PAGO</t>
  </si>
  <si>
    <t xml:space="preserve">GM OIL ALACANT</t>
  </si>
  <si>
    <t xml:space="preserve">Gasolina</t>
  </si>
  <si>
    <t xml:space="preserve">ES RIU MAGRE</t>
  </si>
  <si>
    <t xml:space="preserve">PARKING TORRENT</t>
  </si>
  <si>
    <t xml:space="preserve">Parking</t>
  </si>
  <si>
    <t xml:space="preserve">BEROIL L'ALFAS DEL PI</t>
  </si>
  <si>
    <t xml:space="preserve">PETROALACANT VILLAFRANQUESA</t>
  </si>
  <si>
    <t xml:space="preserve">PETRER</t>
  </si>
  <si>
    <t xml:space="preserve">APARC VICENTE INGLADA</t>
  </si>
  <si>
    <t xml:space="preserve">PARKING ALFONSO EL SABIO</t>
  </si>
  <si>
    <t xml:space="preserve">AUTOPISTA DEL SURESTE (AU)</t>
  </si>
  <si>
    <t xml:space="preserve">TOTAL SUMA MES</t>
  </si>
  <si>
    <t xml:space="preserve">RESUMEN SEMANAL</t>
  </si>
  <si>
    <t xml:space="preserve">PRESUPUESTO CARGA COMBUSTIBLE</t>
  </si>
  <si>
    <t xml:space="preserve">GASTADO</t>
  </si>
  <si>
    <t xml:space="preserve">RESTAURANTE LAVASH KEBAP</t>
  </si>
  <si>
    <t xml:space="preserve">Gasto Real</t>
  </si>
  <si>
    <t xml:space="preserve">CAIXABANK</t>
  </si>
  <si>
    <t xml:space="preserve">Restaurante</t>
  </si>
  <si>
    <t xml:space="preserve">ZONA 3 PUKA PUKA</t>
  </si>
  <si>
    <t xml:space="preserve">LLAO LLAO GRAN VIA ALICANTE</t>
  </si>
  <si>
    <t xml:space="preserve">BAR ASSOCIACIO EL MORO</t>
  </si>
  <si>
    <t xml:space="preserve">CHURRERIA CALDERON</t>
  </si>
  <si>
    <t xml:space="preserve">RAICAR FITNESS CENTER</t>
  </si>
  <si>
    <t xml:space="preserve">GYM</t>
  </si>
  <si>
    <t xml:space="preserve">CLUB DE SURF ALHOA SPORT</t>
  </si>
  <si>
    <t xml:space="preserve">PADEL SURF</t>
  </si>
  <si>
    <t xml:space="preserve">MES</t>
  </si>
  <si>
    <t xml:space="preserve">AGOSTO</t>
  </si>
  <si>
    <t xml:space="preserve">VIDACAIXA MYBOX AGRUPADO</t>
  </si>
  <si>
    <t xml:space="preserve">SEGURO DE VIDA</t>
  </si>
  <si>
    <t xml:space="preserve">SEGURO ADESLAS HOGAR AGRUPADO</t>
  </si>
  <si>
    <t xml:space="preserve">SEGURO DE HOGAR</t>
  </si>
  <si>
    <t xml:space="preserve">DKV SEGURO</t>
  </si>
  <si>
    <t xml:space="preserve">SEGURO DE SALUD FAMILIAR</t>
  </si>
  <si>
    <t xml:space="preserve">LUZ JULIO</t>
  </si>
  <si>
    <t xml:space="preserve">TRANSFERENCIA BANCARIA</t>
  </si>
  <si>
    <t xml:space="preserve">CAIXABANK A BBVA</t>
  </si>
  <si>
    <t xml:space="preserve">COMUNIDAD PISO TENERIA</t>
  </si>
  <si>
    <t xml:space="preserve">CAIXABANK A SABADELL </t>
  </si>
  <si>
    <t xml:space="preserve">COMUNIDAD EDIF</t>
  </si>
  <si>
    <t xml:space="preserve">VIRGEN DEL CISNE</t>
  </si>
  <si>
    <t xml:space="preserve">COMIDA DIA</t>
  </si>
  <si>
    <t xml:space="preserve">Seguro de coche</t>
  </si>
  <si>
    <t xml:space="preserve">VALOR MES</t>
  </si>
  <si>
    <t xml:space="preserve">MESES</t>
  </si>
  <si>
    <t xml:space="preserve">Seguro Seat Ibiza (prorrateado)</t>
  </si>
  <si>
    <t xml:space="preserve">Seguro KIA Mapfre (prorrateado)</t>
  </si>
  <si>
    <t xml:space="preserve">FINANZAS TIGRE — GRÁFICAS</t>
  </si>
  <si>
    <t xml:space="preserve">Generado automáticamente a partir de las hojas de datos de este libro (actualizado con las nuevas categorías).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</si>
</sst>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mm\-yy"/>
    <numFmt numFmtId="166" formatCode="_(\$* #,##0.00_);_(\$* \(#,##0.00\);_(\$* \-??_);_(@_)"/>
    <numFmt numFmtId="167" formatCode="_-* #,##0.00&quot; €&quot;_-;\-* #,##0.00&quot; €&quot;_-;_-* \-??&quot; €&quot;_-;_-@_-"/>
    <numFmt numFmtId="168" formatCode="m/d/yyyy"/>
    <numFmt numFmtId="169" formatCode="0%"/>
    <numFmt numFmtId="170" formatCode="0.00%"/>
    <numFmt numFmtId="171" formatCode="General"/>
    <numFmt numFmtId="172" formatCode="#,##0.00"/>
    <numFmt numFmtId="173" formatCode="#,##0.00&quot; €&quot;;[RED]\-#,##0.00&quot; €&quot;"/>
    <numFmt numFmtId="174" formatCode="#,##0.00&quot; €&quot;"/>
  </numFmts>
  <fonts count="33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1"/>
      <name val="Segoe UI"/>
      <family val="2"/>
      <charset val="1"/>
    </font>
    <font>
      <sz val="10"/>
      <name val="Arial"/>
      <family val="2"/>
    </font>
    <font>
      <b val="true"/>
      <sz val="14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4"/>
      <color rgb="FF00B050"/>
      <name val="Calibri"/>
      <family val="2"/>
      <charset val="1"/>
    </font>
    <font>
      <b val="true"/>
      <sz val="14"/>
      <color theme="3"/>
      <name val="Calibri"/>
      <family val="2"/>
      <charset val="1"/>
    </font>
    <font>
      <sz val="12"/>
      <color rgb="FFFF0000"/>
      <name val="Calibri"/>
      <family val="2"/>
      <charset val="1"/>
    </font>
    <font>
      <sz val="16"/>
      <color rgb="FF00B050"/>
      <name val="Calibri"/>
      <family val="2"/>
      <charset val="1"/>
    </font>
    <font>
      <sz val="16"/>
      <color rgb="FFFF0000"/>
      <name val="Calibri"/>
      <family val="2"/>
      <charset val="1"/>
    </font>
    <font>
      <sz val="12"/>
      <color theme="5"/>
      <name val="Calibri"/>
      <family val="2"/>
      <charset val="1"/>
    </font>
    <font>
      <b val="true"/>
      <sz val="18"/>
      <color rgb="FF404040"/>
      <name val="Calibri"/>
      <family val="2"/>
    </font>
    <font>
      <b val="true"/>
      <sz val="10"/>
      <color rgb="FFFFFFFF"/>
      <name val="Calibri"/>
      <family val="2"/>
    </font>
    <font>
      <sz val="18"/>
      <color rgb="FF404040"/>
      <name val="Calibri"/>
      <family val="2"/>
    </font>
    <font>
      <sz val="12"/>
      <name val="Calibri"/>
      <family val="2"/>
      <charset val="1"/>
    </font>
    <font>
      <b val="true"/>
      <sz val="16"/>
      <color theme="0"/>
      <name val="Calibri"/>
      <family val="2"/>
      <charset val="1"/>
    </font>
    <font>
      <sz val="18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6"/>
      <color rgb="FFE8630A"/>
      <name val="Arial"/>
      <family val="2"/>
      <charset val="1"/>
    </font>
    <font>
      <i val="true"/>
      <sz val="10"/>
      <color rgb="FF666666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8" tint="0.7998"/>
        <bgColor rgb="FFEBF1DE"/>
      </patternFill>
    </fill>
    <fill>
      <patternFill patternType="solid">
        <fgColor theme="6" tint="-0.25"/>
        <bgColor rgb="FF8AA64F"/>
      </patternFill>
    </fill>
    <fill>
      <patternFill patternType="solid">
        <fgColor theme="2"/>
        <bgColor rgb="FFEBF1DE"/>
      </patternFill>
    </fill>
    <fill>
      <patternFill patternType="solid">
        <fgColor theme="3"/>
        <bgColor rgb="FF2C4D75"/>
      </patternFill>
    </fill>
    <fill>
      <patternFill patternType="solid">
        <fgColor theme="9" tint="0.7998"/>
        <bgColor rgb="FFEEECE1"/>
      </patternFill>
    </fill>
    <fill>
      <patternFill patternType="solid">
        <fgColor theme="6" tint="0.3997"/>
        <bgColor rgb="FFB8CD97"/>
      </patternFill>
    </fill>
    <fill>
      <patternFill patternType="solid">
        <fgColor theme="7"/>
        <bgColor rgb="FF725990"/>
      </patternFill>
    </fill>
    <fill>
      <patternFill patternType="solid">
        <fgColor theme="6" tint="0.7999"/>
        <bgColor rgb="FFEEECE1"/>
      </patternFill>
    </fill>
    <fill>
      <patternFill patternType="solid">
        <fgColor theme="9" tint="0.5997"/>
        <bgColor rgb="FFF2DCDB"/>
      </patternFill>
    </fill>
    <fill>
      <patternFill patternType="solid">
        <fgColor theme="7" tint="0.3997"/>
        <bgColor rgb="FFA99BBD"/>
      </patternFill>
    </fill>
    <fill>
      <patternFill patternType="solid">
        <fgColor theme="2" tint="-0.1"/>
        <bgColor rgb="FFD9D9D9"/>
      </patternFill>
    </fill>
    <fill>
      <patternFill patternType="solid">
        <fgColor theme="5" tint="0.7998"/>
        <bgColor rgb="FFFDEADA"/>
      </patternFill>
    </fill>
    <fill>
      <patternFill patternType="solid">
        <fgColor rgb="FFFFC000"/>
        <bgColor rgb="FFF79646"/>
      </patternFill>
    </fill>
    <fill>
      <patternFill patternType="solid">
        <fgColor theme="8" tint="0.5997"/>
        <bgColor rgb="FFC2CCE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0" xfId="1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0" xfId="1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7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8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8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3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1" fillId="3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9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1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1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3" borderId="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1" fillId="3" borderId="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1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1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1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15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3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6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206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8AA64F"/>
      <rgbColor rgb="FFF2DCDB"/>
      <rgbColor rgb="FFC3D69B"/>
      <rgbColor rgb="FFD09493"/>
      <rgbColor rgb="FF92C3D5"/>
      <rgbColor rgb="FFB65708"/>
      <rgbColor rgb="FF5F7530"/>
      <rgbColor rgb="FF000080"/>
      <rgbColor rgb="FF77933C"/>
      <rgbColor rgb="FF4E80BC"/>
      <rgbColor rgb="FF276A7C"/>
      <rgbColor rgb="FFBFBFBF"/>
      <rgbColor rgb="FF8064A2"/>
      <rgbColor rgb="FF93A9CE"/>
      <rgbColor rgb="FFAB4744"/>
      <rgbColor rgb="FFEBF1DE"/>
      <rgbColor rgb="FFDBEEF4"/>
      <rgbColor rgb="FF666666"/>
      <rgbColor rgb="FFDC853E"/>
      <rgbColor rgb="FF2C4D75"/>
      <rgbColor rgb="FFC2CCE1"/>
      <rgbColor rgb="FF000080"/>
      <rgbColor rgb="FFB8CD97"/>
      <rgbColor rgb="FFDDD9C3"/>
      <rgbColor rgb="FFB7DEE8"/>
      <rgbColor rgb="FFB3B3B3"/>
      <rgbColor rgb="FFD9D9D9"/>
      <rgbColor rgb="FF00B050"/>
      <rgbColor rgb="FF0000FF"/>
      <rgbColor rgb="FF4F81BD"/>
      <rgbColor rgb="FFF2F2F2"/>
      <rgbColor rgb="FFEEECE1"/>
      <rgbColor rgb="FFFDEADA"/>
      <rgbColor rgb="FF99CCFF"/>
      <rgbColor rgb="FFF8B590"/>
      <rgbColor rgb="FFB3A2C7"/>
      <rgbColor rgb="FFFCD5B5"/>
      <rgbColor rgb="FF4672A8"/>
      <rgbColor rgb="FF4BACC6"/>
      <rgbColor rgb="FF9BBB59"/>
      <rgbColor rgb="FFFFC000"/>
      <rgbColor rgb="FFF79646"/>
      <rgbColor rgb="FFE8630A"/>
      <rgbColor rgb="FF725990"/>
      <rgbColor rgb="FFA99BBD"/>
      <rgbColor rgb="FF002060"/>
      <rgbColor rgb="FF4299B0"/>
      <rgbColor rgb="FF595959"/>
      <rgbColor rgb="FF4D3B62"/>
      <rgbColor rgb="FF772C2A"/>
      <rgbColor rgb="FFC0504D"/>
      <rgbColor rgb="FF1F49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404040"/>
                </a:solidFill>
                <a:latin typeface="Calibri"/>
              </a:rPr>
              <a:t>Distribución del gasto real de agosto (todas las categorías)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0717758629"/>
          <c:y val="0.056760978996702"/>
          <c:w val="0.508448466759736"/>
          <c:h val="0.943210090840711"/>
        </c:manualLayout>
      </c:layout>
      <c:pieChart>
        <c:varyColors val="1"/>
        <c:ser>
          <c:idx val="0"/>
          <c:order val="0"/>
          <c:tx>
            <c:strRef>
              <c:f>'RESUMEN GASTOS'!$D$1</c:f>
              <c:strCache>
                <c:ptCount val="1"/>
                <c:pt idx="0">
                  <c:v>REAL GASTADO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6"/>
            <c:spPr>
              <a:solidFill>
                <a:srgbClr val="2c4d75"/>
              </a:solidFill>
              <a:ln w="0">
                <a:noFill/>
              </a:ln>
            </c:spPr>
          </c:dPt>
          <c:dPt>
            <c:idx val="7"/>
            <c:spPr>
              <a:solidFill>
                <a:srgbClr val="772c2a"/>
              </a:solidFill>
              <a:ln w="0">
                <a:noFill/>
              </a:ln>
            </c:spPr>
          </c:dPt>
          <c:dPt>
            <c:idx val="8"/>
            <c:spPr>
              <a:solidFill>
                <a:srgbClr val="5f753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4d3b6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276a7c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b65708"/>
              </a:solidFill>
              <a:ln w="0">
                <a:noFill/>
              </a:ln>
            </c:spPr>
          </c:dPt>
          <c:dLbls>
            <c:numFmt formatCode="_-* #,##0.00&quot; €&quot;_-;\-* #,##0.00&quot; €&quot;_-;_-* \-??&quot; €&quot;_-;_-@_-" sourceLinked="1"/>
            <c:dLbl>
              <c:idx val="0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1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2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3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4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5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6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7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8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9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10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11"/>
              <c:numFmt formatCode="_-* #,##0.00&quot; €&quot;_-;\-* #,##0.00&quot; €&quot;_-;_-* \-??&quot; €&quot;_-;_-@_-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eparator>; </c:separator>
            </c:dLbl>
            <c:spPr>
              <a:solidFill>
                <a:srgbClr val="595959"/>
              </a:solidFill>
            </c:spPr>
            <c:txPr>
              <a:bodyPr wrap="square"/>
              <a:lstStyle/>
              <a:p>
                <a:pPr>
                  <a:defRPr b="1" sz="10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1"/>
            <c:separator>; </c:separator>
            <c:showLeaderLines val="1"/>
          </c:dLbls>
          <c:cat>
            <c:strRef>
              <c:f>'RESUMEN GASTOS'!$B$2:$B$13</c:f>
              <c:strCache>
                <c:ptCount val="12"/>
                <c:pt idx="0">
                  <c:v>GASTOS EN HIPOTECAS Y PRESTAMOS</c:v>
                </c:pt>
                <c:pt idx="1">
                  <c:v>GASTOS DE SEGUROS Y MUTUAS</c:v>
                </c:pt>
                <c:pt idx="2">
                  <c:v>GASTOS DE SUPERMERCADO</c:v>
                </c:pt>
                <c:pt idx="3">
                  <c:v>GASTOS DE GASOLINA</c:v>
                </c:pt>
                <c:pt idx="4">
                  <c:v>GASTOS DE FARMACIA</c:v>
                </c:pt>
                <c:pt idx="5">
                  <c:v>GASTOS DE RESTAURANTE</c:v>
                </c:pt>
                <c:pt idx="6">
                  <c:v>GASTO DE BIENESTAR Y BELLEZA</c:v>
                </c:pt>
                <c:pt idx="7">
                  <c:v>DINERO CAJERO</c:v>
                </c:pt>
                <c:pt idx="8">
                  <c:v>GASTOS DE TRANSFERENCIA</c:v>
                </c:pt>
                <c:pt idx="9">
                  <c:v>GASTOS DE ROPA Y CALZADO</c:v>
                </c:pt>
                <c:pt idx="10">
                  <c:v>PAGO DE TARJETA DE CREDITO PAGADO MES JULIO</c:v>
                </c:pt>
                <c:pt idx="11">
                  <c:v>PRESTAMO YAYO (TARJETA DE CREDITO) ENVIO A ECUADOR</c:v>
                </c:pt>
              </c:strCache>
            </c:strRef>
          </c:cat>
          <c:val>
            <c:numRef>
              <c:f>'RESUMEN GASTOS'!$D$2:$D$13</c:f>
              <c:numCache>
                <c:formatCode>_-* #,##0.00" €"_-;\-* #,##0.00" €"_-;_-* \-??" €"_-;_-@_-</c:formatCode>
                <c:ptCount val="12"/>
                <c:pt idx="0">
                  <c:v>524.99</c:v>
                </c:pt>
                <c:pt idx="1">
                  <c:v>87.02</c:v>
                </c:pt>
                <c:pt idx="2">
                  <c:v>539.09</c:v>
                </c:pt>
                <c:pt idx="3">
                  <c:v>289.053</c:v>
                </c:pt>
                <c:pt idx="4">
                  <c:v>19.85</c:v>
                </c:pt>
                <c:pt idx="5">
                  <c:v>88.75</c:v>
                </c:pt>
                <c:pt idx="6">
                  <c:v>77</c:v>
                </c:pt>
                <c:pt idx="7">
                  <c:v>110</c:v>
                </c:pt>
                <c:pt idx="8">
                  <c:v>125</c:v>
                </c:pt>
                <c:pt idx="9">
                  <c:v>55.47</c:v>
                </c:pt>
                <c:pt idx="10">
                  <c:v>382</c:v>
                </c:pt>
                <c:pt idx="11">
                  <c:v>874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03200162211483"/>
          <c:y val="0.13314508681146"/>
          <c:w val="0.251125766306608"/>
          <c:h val="0.356857056876621"/>
        </c:manualLayout>
      </c:layout>
      <c:overlay val="0"/>
      <c:spPr>
        <a:solidFill>
          <a:srgbClr val="f2f2f2">
            <a:alpha val="39000"/>
          </a:srgbClr>
        </a:solidFill>
        <a:ln w="0">
          <a:noFill/>
        </a:ln>
      </c:spPr>
      <c:txPr>
        <a:bodyPr/>
        <a:lstStyle/>
        <a:p>
          <a:pPr>
            <a:defRPr b="0" sz="1800" spc="-1" strike="noStrike">
              <a:solidFill>
                <a:srgbClr val="404040"/>
              </a:solidFill>
              <a:latin typeface="Calibri"/>
            </a:defRPr>
          </a:pPr>
        </a:p>
      </c:txPr>
    </c:legend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Presupuesto vs. Gasto Real (categorías con presupuesto)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"Presupuesto"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GASTOS'!$B$4:$B$7</c:f>
              <c:strCache>
                <c:ptCount val="4"/>
                <c:pt idx="0">
                  <c:v>GASTOS DE SUPERMERCADO</c:v>
                </c:pt>
                <c:pt idx="1">
                  <c:v>GASTOS DE GASOLINA</c:v>
                </c:pt>
                <c:pt idx="2">
                  <c:v>GASTOS DE FARMACIA</c:v>
                </c:pt>
                <c:pt idx="3">
                  <c:v>GASTOS DE RESTAURANTE</c:v>
                </c:pt>
              </c:strCache>
            </c:strRef>
          </c:cat>
          <c:val>
            <c:numRef>
              <c:f>'RESUMEN GASTOS'!$C$4:$C$7</c:f>
              <c:numCache>
                <c:formatCode>_-* #,##0.00" €"_-;\-* #,##0.00" €"_-;_-* \-??" €"_-;_-@_-</c:formatCode>
                <c:ptCount val="4"/>
                <c:pt idx="0">
                  <c:v>400</c:v>
                </c:pt>
                <c:pt idx="1">
                  <c:v>200</c:v>
                </c:pt>
                <c:pt idx="2">
                  <c:v>20</c:v>
                </c:pt>
                <c:pt idx="3">
                  <c:v>100</c:v>
                </c:pt>
              </c:numCache>
            </c:numRef>
          </c:val>
        </c:ser>
        <c:ser>
          <c:idx val="1"/>
          <c:order val="1"/>
          <c:tx>
            <c:strRef>
              <c:f>"Real gastado"</c:f>
              <c:strCache>
                <c:ptCount val="1"/>
                <c:pt idx="0">
                  <c:v>Real gastado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GASTOS'!$B$4:$B$7</c:f>
              <c:strCache>
                <c:ptCount val="4"/>
                <c:pt idx="0">
                  <c:v>GASTOS DE SUPERMERCADO</c:v>
                </c:pt>
                <c:pt idx="1">
                  <c:v>GASTOS DE GASOLINA</c:v>
                </c:pt>
                <c:pt idx="2">
                  <c:v>GASTOS DE FARMACIA</c:v>
                </c:pt>
                <c:pt idx="3">
                  <c:v>GASTOS DE RESTAURANTE</c:v>
                </c:pt>
              </c:strCache>
            </c:strRef>
          </c:cat>
          <c:val>
            <c:numRef>
              <c:f>'RESUMEN GASTOS'!$D$4:$D$7</c:f>
              <c:numCache>
                <c:formatCode>_-* #,##0.00" €"_-;\-* #,##0.00" €"_-;_-* \-??" €"_-;_-@_-</c:formatCode>
                <c:ptCount val="4"/>
                <c:pt idx="0">
                  <c:v>539.09</c:v>
                </c:pt>
                <c:pt idx="1">
                  <c:v>289.053</c:v>
                </c:pt>
                <c:pt idx="2">
                  <c:v>19.85</c:v>
                </c:pt>
                <c:pt idx="3">
                  <c:v>88.75</c:v>
                </c:pt>
              </c:numCache>
            </c:numRef>
          </c:val>
        </c:ser>
        <c:gapWidth val="150"/>
        <c:overlap val="0"/>
        <c:axId val="65337203"/>
        <c:axId val="44311459"/>
      </c:barChart>
      <c:catAx>
        <c:axId val="653372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11459"/>
        <c:crosses val="autoZero"/>
        <c:auto val="1"/>
        <c:lblAlgn val="ctr"/>
        <c:lblOffset val="100"/>
        <c:noMultiLvlLbl val="0"/>
      </c:catAx>
      <c:valAx>
        <c:axId val="443114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Euros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.00&quot; €&quot;_-;\-* #,##0.00&quot; €&quot;_-;_-* \-??&quot; €&quot;_-;_-@_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372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Distribución del gasto real de agosto (todas las categorías)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'RESUMEN GASTOS'!$D$1</c:f>
              <c:strCache>
                <c:ptCount val="1"/>
                <c:pt idx="0">
                  <c:v>REAL GASTADO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numFmt formatCode="_-* #,##0.00&quot; €&quot;_-;\-* #,##0.00&quot; €&quot;_-;_-* \-??&quot; €&quot;_-;_-@_-" sourceLinked="1"/>
            <c:dLbl>
              <c:idx val="0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'RESUMEN GASTOS'!$B$2:$B$13</c:f>
              <c:strCache>
                <c:ptCount val="12"/>
                <c:pt idx="0">
                  <c:v>GASTOS EN HIPOTECAS Y PRESTAMOS</c:v>
                </c:pt>
                <c:pt idx="1">
                  <c:v>GASTOS DE SEGUROS Y MUTUAS</c:v>
                </c:pt>
                <c:pt idx="2">
                  <c:v>GASTOS DE SUPERMERCADO</c:v>
                </c:pt>
                <c:pt idx="3">
                  <c:v>GASTOS DE GASOLINA</c:v>
                </c:pt>
                <c:pt idx="4">
                  <c:v>GASTOS DE FARMACIA</c:v>
                </c:pt>
                <c:pt idx="5">
                  <c:v>GASTOS DE RESTAURANTE</c:v>
                </c:pt>
                <c:pt idx="6">
                  <c:v>GASTO DE BIENESTAR Y BELLEZA</c:v>
                </c:pt>
                <c:pt idx="7">
                  <c:v>DINERO CAJERO</c:v>
                </c:pt>
                <c:pt idx="8">
                  <c:v>GASTOS DE TRANSFERENCIA</c:v>
                </c:pt>
                <c:pt idx="9">
                  <c:v>GASTOS DE ROPA Y CALZADO</c:v>
                </c:pt>
                <c:pt idx="10">
                  <c:v>PAGO DE TARJETA DE CREDITO PAGADO MES JULIO</c:v>
                </c:pt>
                <c:pt idx="11">
                  <c:v>PRESTAMO YAYO (TARJETA DE CREDITO) ENVIO A ECUADOR</c:v>
                </c:pt>
              </c:strCache>
            </c:strRef>
          </c:cat>
          <c:val>
            <c:numRef>
              <c:f>'RESUMEN GASTOS'!$D$2:$D$13</c:f>
              <c:numCache>
                <c:formatCode>_-* #,##0.00" €"_-;\-* #,##0.00" €"_-;_-* \-??" €"_-;_-@_-</c:formatCode>
                <c:ptCount val="12"/>
                <c:pt idx="0">
                  <c:v>524.99</c:v>
                </c:pt>
                <c:pt idx="1">
                  <c:v>87.02</c:v>
                </c:pt>
                <c:pt idx="2">
                  <c:v>539.09</c:v>
                </c:pt>
                <c:pt idx="3">
                  <c:v>289.053</c:v>
                </c:pt>
                <c:pt idx="4">
                  <c:v>19.85</c:v>
                </c:pt>
                <c:pt idx="5">
                  <c:v>88.75</c:v>
                </c:pt>
                <c:pt idx="6">
                  <c:v>77</c:v>
                </c:pt>
                <c:pt idx="7">
                  <c:v>110</c:v>
                </c:pt>
                <c:pt idx="8">
                  <c:v>125</c:v>
                </c:pt>
                <c:pt idx="9">
                  <c:v>55.47</c:v>
                </c:pt>
                <c:pt idx="10">
                  <c:v>382</c:v>
                </c:pt>
                <c:pt idx="11">
                  <c:v>874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Supermercado — Presupuesto vs. Gastado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'GASTOS-SUPERMERCADO'!$B$34</c:f>
              <c:strCache>
                <c:ptCount val="1"/>
                <c:pt idx="0">
                  <c:v> PRESUPUESTO </c:v>
                </c:pt>
              </c:strCache>
            </c:strRef>
          </c:tx>
          <c:spPr>
            <a:solidFill>
              <a:srgbClr val="4672a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'GASTOS-SUPERMERCADO'!$A$35:$A$38</c:f>
              <c:strCache>
                <c:ptCount val="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</c:strCache>
            </c:strRef>
          </c:cat>
          <c:val>
            <c:numRef>
              <c:f>'GASTOS-SUPERMERCADO'!$B$35:$B$38</c:f>
              <c:numCache>
                <c:formatCode>_-* #,##0.00" €"_-;\-* #,##0.00" €"_-;_-* \-??" €"_-;_-@_-</c:formatCode>
                <c:ptCount val="4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</c:numCache>
            </c:numRef>
          </c:val>
        </c:ser>
        <c:ser>
          <c:idx val="1"/>
          <c:order val="1"/>
          <c:tx>
            <c:strRef>
              <c:f>'GASTOS-SUPERMERCADO'!$C$34</c:f>
              <c:strCache>
                <c:ptCount val="1"/>
                <c:pt idx="0">
                  <c:v> GASTADO_REAL </c:v>
                </c:pt>
              </c:strCache>
            </c:strRef>
          </c:tx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'GASTOS-SUPERMERCADO'!$A$35:$A$38</c:f>
              <c:strCache>
                <c:ptCount val="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</c:strCache>
            </c:strRef>
          </c:cat>
          <c:val>
            <c:numRef>
              <c:f>'GASTOS-SUPERMERCADO'!$C$35:$C$38</c:f>
              <c:numCache>
                <c:formatCode>_-* #,##0.00" €"_-;\-* #,##0.00" €"_-;_-* \-??" €"_-;_-@_-</c:formatCode>
                <c:ptCount val="4"/>
                <c:pt idx="0">
                  <c:v>205.34</c:v>
                </c:pt>
                <c:pt idx="1">
                  <c:v>107.61</c:v>
                </c:pt>
                <c:pt idx="2">
                  <c:v>124.4</c:v>
                </c:pt>
                <c:pt idx="3">
                  <c:v>101.74</c:v>
                </c:pt>
              </c:numCache>
            </c:numRef>
          </c:val>
        </c:ser>
        <c:gapWidth val="150"/>
        <c:overlap val="0"/>
        <c:axId val="6596213"/>
        <c:axId val="30484990"/>
      </c:barChart>
      <c:catAx>
        <c:axId val="65962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84990"/>
        <c:crosses val="autoZero"/>
        <c:auto val="1"/>
        <c:lblAlgn val="ctr"/>
        <c:lblOffset val="100"/>
        <c:noMultiLvlLbl val="0"/>
      </c:catAx>
      <c:valAx>
        <c:axId val="304849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Euros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.00&quot; €&quot;_-;\-* #,##0.00&quot; €&quot;_-;_-* \-??&quot; €&quot;_-;_-@_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6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Nuevas categorías (Bienestar, Cajero, Transferencias, Ropa)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"Real gastado"</c:f>
              <c:strCache>
                <c:ptCount val="1"/>
                <c:pt idx="0">
                  <c:v>Real gastado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GASTOS'!$B$8:$B$11</c:f>
              <c:strCache>
                <c:ptCount val="4"/>
                <c:pt idx="0">
                  <c:v>GASTO DE BIENESTAR Y BELLEZA</c:v>
                </c:pt>
                <c:pt idx="1">
                  <c:v>DINERO CAJERO</c:v>
                </c:pt>
                <c:pt idx="2">
                  <c:v>GASTOS DE TRANSFERENCIA</c:v>
                </c:pt>
                <c:pt idx="3">
                  <c:v>GASTOS DE ROPA Y CALZADO</c:v>
                </c:pt>
              </c:strCache>
            </c:strRef>
          </c:cat>
          <c:val>
            <c:numRef>
              <c:f>'RESUMEN GASTOS'!$D$8:$D$11</c:f>
              <c:numCache>
                <c:formatCode>_-* #,##0.00" €"_-;\-* #,##0.00" €"_-;_-* \-??" €"_-;_-@_-</c:formatCode>
                <c:ptCount val="4"/>
                <c:pt idx="0">
                  <c:v>77</c:v>
                </c:pt>
                <c:pt idx="1">
                  <c:v>110</c:v>
                </c:pt>
                <c:pt idx="2">
                  <c:v>125</c:v>
                </c:pt>
                <c:pt idx="3">
                  <c:v>55.47</c:v>
                </c:pt>
              </c:numCache>
            </c:numRef>
          </c:val>
        </c:ser>
        <c:gapWidth val="150"/>
        <c:overlap val="0"/>
        <c:axId val="81957499"/>
        <c:axId val="4842121"/>
      </c:barChart>
      <c:catAx>
        <c:axId val="819574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2121"/>
        <c:crosses val="autoZero"/>
        <c:auto val="1"/>
        <c:lblAlgn val="ctr"/>
        <c:lblOffset val="100"/>
        <c:noMultiLvlLbl val="0"/>
      </c:catAx>
      <c:valAx>
        <c:axId val="48421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Euros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.00&quot; €&quot;_-;\-* #,##0.00&quot; €&quot;_-;_-* \-??&quot; €&quot;_-;_-@_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574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s-ES" sz="1600" spc="-1" strike="noStrike">
                <a:solidFill>
                  <a:srgbClr val="595959"/>
                </a:solidFill>
                <a:latin typeface="Calibri"/>
              </a:rPr>
              <a:t>Distribución del gasto real de agosto (todas las categorías)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88871767708"/>
          <c:y val="0.0567498400511836"/>
          <c:w val="0.508402754369914"/>
          <c:h val="0.943186180422265"/>
        </c:manualLayout>
      </c:layout>
      <c:radarChart>
        <c:radarStyle val="marker"/>
        <c:varyColors val="0"/>
        <c:ser>
          <c:idx val="0"/>
          <c:order val="0"/>
          <c:tx>
            <c:strRef>
              <c:f>'RESUMEN GASTOS'!$D$1</c:f>
              <c:strCache>
                <c:ptCount val="1"/>
                <c:pt idx="0">
                  <c:v>REAL GASTADO</c:v>
                </c:pt>
              </c:strCache>
            </c:strRef>
          </c:tx>
          <c:spPr>
            <a:solidFill>
              <a:srgbClr val="4f81bd"/>
            </a:solidFill>
            <a:ln cap="rnd" w="34920">
              <a:solidFill>
                <a:srgbClr val="4f81bd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Lbls>
            <c:numFmt formatCode="_-* #,##0.00&quot; €&quot;_-;\-* #,##0.00&quot; €&quot;_-;_-* \-??&quot; €&quot;_-;_-@_-" sourceLinked="1"/>
            <c:dLbl>
              <c:idx val="0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GASTOS'!$B$2:$B$11</c:f>
              <c:strCache>
                <c:ptCount val="10"/>
                <c:pt idx="0">
                  <c:v>GASTOS EN HIPOTECAS Y PRESTAMOS</c:v>
                </c:pt>
                <c:pt idx="1">
                  <c:v>GASTOS DE SEGUROS Y MUTUAS</c:v>
                </c:pt>
                <c:pt idx="2">
                  <c:v>GASTOS DE SUPERMERCADO</c:v>
                </c:pt>
                <c:pt idx="3">
                  <c:v>GASTOS DE GASOLINA</c:v>
                </c:pt>
                <c:pt idx="4">
                  <c:v>GASTOS DE FARMACIA</c:v>
                </c:pt>
                <c:pt idx="5">
                  <c:v>GASTOS DE RESTAURANTE</c:v>
                </c:pt>
                <c:pt idx="6">
                  <c:v>GASTO DE BIENESTAR Y BELLEZA</c:v>
                </c:pt>
                <c:pt idx="7">
                  <c:v>DINERO CAJERO</c:v>
                </c:pt>
                <c:pt idx="8">
                  <c:v>GASTOS DE TRANSFERENCIA</c:v>
                </c:pt>
                <c:pt idx="9">
                  <c:v>GASTOS DE ROPA Y CALZADO</c:v>
                </c:pt>
              </c:strCache>
            </c:strRef>
          </c:cat>
          <c:val>
            <c:numRef>
              <c:f>'RESUMEN GASTOS'!$D$2:$D$11</c:f>
              <c:numCache>
                <c:formatCode>_-* #,##0.00" €"_-;\-* #,##0.00" €"_-;_-* \-??" €"_-;_-@_-</c:formatCode>
                <c:ptCount val="10"/>
                <c:pt idx="0">
                  <c:v>524.99</c:v>
                </c:pt>
                <c:pt idx="1">
                  <c:v>87.02</c:v>
                </c:pt>
                <c:pt idx="2">
                  <c:v>539.09</c:v>
                </c:pt>
                <c:pt idx="3">
                  <c:v>289.053</c:v>
                </c:pt>
                <c:pt idx="4">
                  <c:v>19.85</c:v>
                </c:pt>
                <c:pt idx="5">
                  <c:v>88.75</c:v>
                </c:pt>
                <c:pt idx="6">
                  <c:v>77</c:v>
                </c:pt>
                <c:pt idx="7">
                  <c:v>110</c:v>
                </c:pt>
                <c:pt idx="8">
                  <c:v>125</c:v>
                </c:pt>
                <c:pt idx="9">
                  <c:v>55.47</c:v>
                </c:pt>
              </c:numCache>
            </c:numRef>
          </c:val>
        </c:ser>
        <c:axId val="55638707"/>
        <c:axId val="25188359"/>
      </c:radarChart>
      <c:catAx>
        <c:axId val="55638707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188359"/>
        <c:crosses val="autoZero"/>
        <c:auto val="1"/>
        <c:lblAlgn val="ctr"/>
        <c:lblOffset val="100"/>
        <c:noMultiLvlLbl val="0"/>
      </c:catAx>
      <c:valAx>
        <c:axId val="251883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-* #,##0.00&quot; €&quot;_-;\-* #,##0.00&quot; €&quot;_-;_-* \-??&quot; €&quot;_-;_-@_-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638707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s-ES" sz="1600" spc="-1" strike="noStrike">
                <a:solidFill>
                  <a:srgbClr val="595959"/>
                </a:solidFill>
                <a:latin typeface="Calibri"/>
              </a:rPr>
              <a:t>Distribución del gasto real de agosto (FIJO + ALEATORIO)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1757417672"/>
          <c:y val="0.0567432040116126"/>
          <c:w val="0.508436582980111"/>
          <c:h val="0.9431908155186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'RESUMEN GASTOS'!$D$1</c:f>
              <c:strCache>
                <c:ptCount val="1"/>
                <c:pt idx="0">
                  <c:v>REAL GASTADO</c:v>
                </c:pt>
              </c:strCache>
            </c:strRef>
          </c:tx>
          <c:spPr>
            <a:gradFill>
              <a:gsLst>
                <a:gs pos="0">
                  <a:srgbClr val="4e80bc"/>
                </a:gs>
                <a:gs pos="100000">
                  <a:srgbClr val="c2cce1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0"/>
            <c:invertIfNegative val="0"/>
            <c:spPr>
              <a:gradFill>
                <a:gsLst>
                  <a:gs pos="0">
                    <a:srgbClr val="4e80bc"/>
                  </a:gs>
                  <a:gs pos="100000">
                    <a:srgbClr val="c2cce1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1"/>
            <c:invertIfNegative val="0"/>
            <c:spPr>
              <a:gradFill>
                <a:gsLst>
                  <a:gs pos="0">
                    <a:srgbClr val="4e80bc"/>
                  </a:gs>
                  <a:gs pos="100000">
                    <a:srgbClr val="c2cce1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2"/>
            <c:invertIfNegative val="0"/>
            <c:spPr>
              <a:gradFill>
                <a:gsLst>
                  <a:gs pos="0">
                    <a:srgbClr val="4e80bc"/>
                  </a:gs>
                  <a:gs pos="100000">
                    <a:srgbClr val="c2cce1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3"/>
            <c:invertIfNegative val="0"/>
            <c:spPr>
              <a:gradFill>
                <a:gsLst>
                  <a:gs pos="0">
                    <a:srgbClr val="4e80bc"/>
                  </a:gs>
                  <a:gs pos="100000">
                    <a:srgbClr val="c2cce1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4"/>
            <c:invertIfNegative val="0"/>
            <c:spPr>
              <a:gradFill>
                <a:gsLst>
                  <a:gs pos="0">
                    <a:srgbClr val="4e80bc"/>
                  </a:gs>
                  <a:gs pos="100000">
                    <a:srgbClr val="c2cce1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5"/>
            <c:invertIfNegative val="0"/>
            <c:spPr>
              <a:gradFill>
                <a:gsLst>
                  <a:gs pos="0">
                    <a:srgbClr val="4e80bc"/>
                  </a:gs>
                  <a:gs pos="100000">
                    <a:srgbClr val="c2cce1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6"/>
            <c:invertIfNegative val="0"/>
            <c:spPr>
              <a:gradFill>
                <a:gsLst>
                  <a:gs pos="0">
                    <a:srgbClr val="4e80bc"/>
                  </a:gs>
                  <a:gs pos="100000">
                    <a:srgbClr val="c2cce1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7"/>
            <c:invertIfNegative val="0"/>
            <c:spPr>
              <a:gradFill>
                <a:gsLst>
                  <a:gs pos="0">
                    <a:srgbClr val="4e80bc"/>
                  </a:gs>
                  <a:gs pos="100000">
                    <a:srgbClr val="c2cce1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8"/>
            <c:invertIfNegative val="0"/>
            <c:spPr>
              <a:gradFill>
                <a:gsLst>
                  <a:gs pos="0">
                    <a:srgbClr val="4e80bc"/>
                  </a:gs>
                  <a:gs pos="100000">
                    <a:srgbClr val="c2cce1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9"/>
            <c:invertIfNegative val="0"/>
            <c:spPr>
              <a:gradFill>
                <a:gsLst>
                  <a:gs pos="0">
                    <a:srgbClr val="4e80bc"/>
                  </a:gs>
                  <a:gs pos="100000">
                    <a:srgbClr val="c2cce1"/>
                  </a:gs>
                </a:gsLst>
                <a:lin ang="16200000"/>
              </a:gradFill>
              <a:ln w="0">
                <a:noFill/>
              </a:ln>
            </c:spPr>
          </c:dPt>
          <c:dLbls>
            <c:numFmt formatCode="_-* #,##0.00&quot; €&quot;_-;\-* #,##0.00&quot; €&quot;_-;_-* \-??&quot; €&quot;_-;_-@_-" sourceLinked="1"/>
            <c:dLbl>
              <c:idx val="0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_-* #,##0.00&quot; €&quot;_-;\-* #,##0.00&quot; €&quot;_-;_-* \-??&quot; €&quot;_-;_-@_-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GASTOS'!$B$2:$B$11</c:f>
              <c:strCache>
                <c:ptCount val="10"/>
                <c:pt idx="0">
                  <c:v>GASTOS EN HIPOTECAS Y PRESTAMOS</c:v>
                </c:pt>
                <c:pt idx="1">
                  <c:v>GASTOS DE SEGUROS Y MUTUAS</c:v>
                </c:pt>
                <c:pt idx="2">
                  <c:v>GASTOS DE SUPERMERCADO</c:v>
                </c:pt>
                <c:pt idx="3">
                  <c:v>GASTOS DE GASOLINA</c:v>
                </c:pt>
                <c:pt idx="4">
                  <c:v>GASTOS DE FARMACIA</c:v>
                </c:pt>
                <c:pt idx="5">
                  <c:v>GASTOS DE RESTAURANTE</c:v>
                </c:pt>
                <c:pt idx="6">
                  <c:v>GASTO DE BIENESTAR Y BELLEZA</c:v>
                </c:pt>
                <c:pt idx="7">
                  <c:v>DINERO CAJERO</c:v>
                </c:pt>
                <c:pt idx="8">
                  <c:v>GASTOS DE TRANSFERENCIA</c:v>
                </c:pt>
                <c:pt idx="9">
                  <c:v>GASTOS DE ROPA Y CALZADO</c:v>
                </c:pt>
              </c:strCache>
            </c:strRef>
          </c:cat>
          <c:val>
            <c:numRef>
              <c:f>'RESUMEN GASTOS'!$D$2:$D$11</c:f>
              <c:numCache>
                <c:formatCode>_-* #,##0.00" €"_-;\-* #,##0.00" €"_-;_-* \-??" €"_-;_-@_-</c:formatCode>
                <c:ptCount val="10"/>
                <c:pt idx="0">
                  <c:v>524.99</c:v>
                </c:pt>
                <c:pt idx="1">
                  <c:v>87.02</c:v>
                </c:pt>
                <c:pt idx="2">
                  <c:v>539.09</c:v>
                </c:pt>
                <c:pt idx="3">
                  <c:v>289.053</c:v>
                </c:pt>
                <c:pt idx="4">
                  <c:v>19.85</c:v>
                </c:pt>
                <c:pt idx="5">
                  <c:v>88.75</c:v>
                </c:pt>
                <c:pt idx="6">
                  <c:v>77</c:v>
                </c:pt>
                <c:pt idx="7">
                  <c:v>110</c:v>
                </c:pt>
                <c:pt idx="8">
                  <c:v>125</c:v>
                </c:pt>
                <c:pt idx="9">
                  <c:v>55.47</c:v>
                </c:pt>
              </c:numCache>
            </c:numRef>
          </c:val>
        </c:ser>
        <c:gapWidth val="115"/>
        <c:overlap val="-20"/>
        <c:axId val="67349685"/>
        <c:axId val="41565795"/>
      </c:barChart>
      <c:catAx>
        <c:axId val="673496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565795"/>
        <c:crosses val="autoZero"/>
        <c:auto val="1"/>
        <c:lblAlgn val="ctr"/>
        <c:lblOffset val="100"/>
        <c:noMultiLvlLbl val="0"/>
      </c:catAx>
      <c:valAx>
        <c:axId val="415657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-* #,##0.00&quot; €&quot;_-;\-* #,##0.00&quot; €&quot;_-;_-* \-??&quot; €&quot;_-;_-@_-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73496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152280</xdr:colOff>
      <xdr:row>31</xdr:row>
      <xdr:rowOff>159480</xdr:rowOff>
    </xdr:from>
    <xdr:to>
      <xdr:col>37</xdr:col>
      <xdr:colOff>538200</xdr:colOff>
      <xdr:row>94</xdr:row>
      <xdr:rowOff>1080</xdr:rowOff>
    </xdr:to>
    <xdr:graphicFrame>
      <xdr:nvGraphicFramePr>
        <xdr:cNvPr id="0" name="Chart 2"/>
        <xdr:cNvGraphicFramePr/>
      </xdr:nvGraphicFramePr>
      <xdr:xfrm>
        <a:off x="16270560" y="7334280"/>
        <a:ext cx="22434480" cy="124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137880</xdr:rowOff>
    </xdr:from>
    <xdr:to>
      <xdr:col>9</xdr:col>
      <xdr:colOff>590400</xdr:colOff>
      <xdr:row>19</xdr:row>
      <xdr:rowOff>138960</xdr:rowOff>
    </xdr:to>
    <xdr:graphicFrame>
      <xdr:nvGraphicFramePr>
        <xdr:cNvPr id="1" name="Chart 1"/>
        <xdr:cNvGraphicFramePr/>
      </xdr:nvGraphicFramePr>
      <xdr:xfrm>
        <a:off x="0" y="588240"/>
        <a:ext cx="6124320" cy="340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137880</xdr:rowOff>
    </xdr:from>
    <xdr:to>
      <xdr:col>10</xdr:col>
      <xdr:colOff>138240</xdr:colOff>
      <xdr:row>39</xdr:row>
      <xdr:rowOff>117720</xdr:rowOff>
    </xdr:to>
    <xdr:graphicFrame>
      <xdr:nvGraphicFramePr>
        <xdr:cNvPr id="2" name="Chart 2"/>
        <xdr:cNvGraphicFramePr/>
      </xdr:nvGraphicFramePr>
      <xdr:xfrm>
        <a:off x="0" y="4188600"/>
        <a:ext cx="6335280" cy="378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</xdr:row>
      <xdr:rowOff>140040</xdr:rowOff>
    </xdr:from>
    <xdr:to>
      <xdr:col>20</xdr:col>
      <xdr:colOff>95040</xdr:colOff>
      <xdr:row>19</xdr:row>
      <xdr:rowOff>138960</xdr:rowOff>
    </xdr:to>
    <xdr:graphicFrame>
      <xdr:nvGraphicFramePr>
        <xdr:cNvPr id="3" name="Chart 4"/>
        <xdr:cNvGraphicFramePr/>
      </xdr:nvGraphicFramePr>
      <xdr:xfrm>
        <a:off x="6197040" y="390240"/>
        <a:ext cx="672444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600120</xdr:colOff>
      <xdr:row>20</xdr:row>
      <xdr:rowOff>195120</xdr:rowOff>
    </xdr:from>
    <xdr:to>
      <xdr:col>20</xdr:col>
      <xdr:colOff>568080</xdr:colOff>
      <xdr:row>38</xdr:row>
      <xdr:rowOff>149760</xdr:rowOff>
    </xdr:to>
    <xdr:graphicFrame>
      <xdr:nvGraphicFramePr>
        <xdr:cNvPr id="4" name="Chart 5"/>
        <xdr:cNvGraphicFramePr/>
      </xdr:nvGraphicFramePr>
      <xdr:xfrm>
        <a:off x="6797160" y="4245840"/>
        <a:ext cx="6597360" cy="355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110880</xdr:colOff>
      <xdr:row>40</xdr:row>
      <xdr:rowOff>181080</xdr:rowOff>
    </xdr:from>
    <xdr:to>
      <xdr:col>26</xdr:col>
      <xdr:colOff>294120</xdr:colOff>
      <xdr:row>69</xdr:row>
      <xdr:rowOff>6840</xdr:rowOff>
    </xdr:to>
    <xdr:graphicFrame>
      <xdr:nvGraphicFramePr>
        <xdr:cNvPr id="5" name="Chart 2"/>
        <xdr:cNvGraphicFramePr/>
      </xdr:nvGraphicFramePr>
      <xdr:xfrm>
        <a:off x="9622440" y="8232120"/>
        <a:ext cx="7475760" cy="56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149040</xdr:colOff>
      <xdr:row>41</xdr:row>
      <xdr:rowOff>20520</xdr:rowOff>
    </xdr:from>
    <xdr:to>
      <xdr:col>14</xdr:col>
      <xdr:colOff>132840</xdr:colOff>
      <xdr:row>68</xdr:row>
      <xdr:rowOff>75600</xdr:rowOff>
    </xdr:to>
    <xdr:graphicFrame>
      <xdr:nvGraphicFramePr>
        <xdr:cNvPr id="6" name="Chart 2"/>
        <xdr:cNvGraphicFramePr/>
      </xdr:nvGraphicFramePr>
      <xdr:xfrm>
        <a:off x="149040" y="8271720"/>
        <a:ext cx="8832600" cy="545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71.88"/>
    <col collapsed="false" customWidth="true" hidden="false" outlineLevel="0" max="2" min="2" style="0" width="17.25"/>
    <col collapsed="false" customWidth="true" hidden="false" outlineLevel="0" max="4" min="3" style="0" width="13.12"/>
    <col collapsed="false" customWidth="true" hidden="false" outlineLevel="0" max="5" min="5" style="0" width="19.88"/>
    <col collapsed="false" customWidth="true" hidden="false" outlineLevel="0" max="7" min="6" style="0" width="13.12"/>
    <col collapsed="false" customWidth="true" hidden="false" outlineLevel="0" max="8" min="8" style="0" width="24.37"/>
  </cols>
  <sheetData>
    <row r="1" customFormat="false" ht="15.75" hidden="false" customHeight="false" outlineLevel="0" collapsed="false">
      <c r="A1" s="1" t="s">
        <v>0</v>
      </c>
      <c r="B1" s="2" t="n">
        <v>46204</v>
      </c>
      <c r="C1" s="2" t="n">
        <v>46235</v>
      </c>
      <c r="D1" s="2" t="n">
        <v>46266</v>
      </c>
      <c r="E1" s="2" t="n">
        <v>46296</v>
      </c>
      <c r="F1" s="2" t="n">
        <v>46327</v>
      </c>
      <c r="G1" s="2" t="n">
        <v>46357</v>
      </c>
      <c r="H1" s="3" t="s">
        <v>1</v>
      </c>
    </row>
    <row r="2" customFormat="false" ht="18.75" hidden="false" customHeight="true" outlineLevel="0" collapsed="false">
      <c r="A2" s="4" t="s">
        <v>2</v>
      </c>
      <c r="B2" s="5" t="n">
        <f aca="false">828.19</f>
        <v>828.19</v>
      </c>
      <c r="C2" s="6" t="n">
        <v>0</v>
      </c>
      <c r="D2" s="6" t="n">
        <v>1195.65</v>
      </c>
      <c r="E2" s="6" t="n">
        <v>2300</v>
      </c>
      <c r="F2" s="6" t="n">
        <v>2300</v>
      </c>
      <c r="G2" s="6" t="n">
        <v>2300</v>
      </c>
      <c r="H2" s="7" t="n">
        <f aca="false">SUM(B2:G2)</f>
        <v>8923.84</v>
      </c>
      <c r="J2" s="8"/>
    </row>
    <row r="3" customFormat="false" ht="18.75" hidden="false" customHeight="true" outlineLevel="0" collapsed="false">
      <c r="A3" s="4" t="s">
        <v>3</v>
      </c>
      <c r="B3" s="5" t="n">
        <v>1613.97</v>
      </c>
      <c r="C3" s="5" t="n">
        <v>2633.45</v>
      </c>
      <c r="D3" s="6" t="n">
        <v>1104.35</v>
      </c>
      <c r="E3" s="6" t="n">
        <v>0</v>
      </c>
      <c r="F3" s="6" t="n">
        <v>0</v>
      </c>
      <c r="G3" s="6" t="n">
        <v>0</v>
      </c>
      <c r="H3" s="7" t="n">
        <f aca="false">SUM(B3:G3)</f>
        <v>5351.77</v>
      </c>
    </row>
    <row r="4" customFormat="false" ht="18.75" hidden="false" customHeight="true" outlineLevel="0" collapsed="false">
      <c r="A4" s="4" t="s">
        <v>4</v>
      </c>
      <c r="B4" s="5" t="n">
        <v>0</v>
      </c>
      <c r="C4" s="5" t="n">
        <v>1242</v>
      </c>
      <c r="D4" s="6" t="n">
        <v>310.5</v>
      </c>
      <c r="E4" s="6" t="n">
        <v>350.1</v>
      </c>
      <c r="F4" s="6" t="n">
        <v>350.1</v>
      </c>
      <c r="G4" s="6" t="n">
        <v>350.1</v>
      </c>
      <c r="H4" s="7" t="n">
        <f aca="false">SUM(B4:G4)</f>
        <v>2602.8</v>
      </c>
    </row>
    <row r="5" customFormat="false" ht="20.25" hidden="false" customHeight="true" outlineLevel="0" collapsed="false">
      <c r="A5" s="4" t="s">
        <v>5</v>
      </c>
      <c r="B5" s="6"/>
      <c r="C5" s="6"/>
      <c r="D5" s="6"/>
      <c r="E5" s="9" t="n">
        <v>5867.11</v>
      </c>
      <c r="F5" s="10"/>
      <c r="G5" s="10"/>
      <c r="H5" s="7" t="n">
        <f aca="false">SUM(B5:G5)</f>
        <v>5867.11</v>
      </c>
    </row>
    <row r="6" customFormat="false" ht="15.75" hidden="false" customHeight="false" outlineLevel="0" collapsed="false">
      <c r="A6" s="11" t="s">
        <v>6</v>
      </c>
      <c r="B6" s="12" t="n">
        <f aca="false">SUM(B2:B4)</f>
        <v>2442.16</v>
      </c>
      <c r="C6" s="12" t="n">
        <f aca="false">SUM(C2:C4)</f>
        <v>3875.45</v>
      </c>
      <c r="D6" s="12" t="n">
        <f aca="false">SUM(D2:D4)</f>
        <v>2610.5</v>
      </c>
      <c r="E6" s="12" t="n">
        <f aca="false">SUM(E2:E5)</f>
        <v>8517.21</v>
      </c>
      <c r="F6" s="12" t="n">
        <f aca="false">SUM(F2:F5)</f>
        <v>2650.1</v>
      </c>
      <c r="G6" s="12" t="n">
        <f aca="false">SUM(G2:G5)</f>
        <v>2650.1</v>
      </c>
      <c r="H6" s="12" t="n">
        <f aca="false">SUM(H2:H5)</f>
        <v>22745.52</v>
      </c>
    </row>
    <row r="7" customFormat="false" ht="15.75" hidden="false" customHeight="false" outlineLevel="0" collapsed="false">
      <c r="C7" s="13"/>
      <c r="D7" s="13"/>
      <c r="E7" s="13"/>
    </row>
    <row r="8" customFormat="false" ht="15.75" hidden="false" customHeight="false" outlineLevel="0" collapsed="false">
      <c r="A8" s="14"/>
      <c r="B8" s="15"/>
      <c r="C8" s="16"/>
    </row>
    <row r="9" customFormat="false" ht="15.75" hidden="false" customHeight="false" outlineLevel="0" collapsed="false">
      <c r="A9" s="14"/>
      <c r="B9" s="8"/>
      <c r="C9" s="16"/>
    </row>
    <row r="10" customFormat="false" ht="15.75" hidden="false" customHeight="false" outlineLevel="0" collapsed="false">
      <c r="B10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20" zoomScaleNormal="20" zoomScalePageLayoutView="100" workbookViewId="0">
      <selection pane="topLeft" activeCell="E56" activeCellId="0" sqref="E56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23.51"/>
    <col collapsed="false" customWidth="true" hidden="false" outlineLevel="0" max="2" min="2" style="0" width="52.63"/>
    <col collapsed="false" customWidth="true" hidden="false" outlineLevel="0" max="3" min="3" style="0" width="19.63"/>
    <col collapsed="false" customWidth="true" hidden="false" outlineLevel="0" max="4" min="4" style="17" width="26.13"/>
    <col collapsed="false" customWidth="true" hidden="false" outlineLevel="0" max="5" min="5" style="0" width="24.5"/>
    <col collapsed="false" customWidth="true" hidden="false" outlineLevel="0" max="6" min="6" style="0" width="20.88"/>
  </cols>
  <sheetData>
    <row r="1" customFormat="false" ht="15.75" hidden="false" customHeight="false" outlineLevel="0" collapsed="false">
      <c r="A1" s="18" t="s">
        <v>7</v>
      </c>
      <c r="B1" s="18" t="s">
        <v>8</v>
      </c>
      <c r="C1" s="19" t="s">
        <v>9</v>
      </c>
      <c r="D1" s="19" t="s">
        <v>10</v>
      </c>
      <c r="E1" s="19" t="s">
        <v>11</v>
      </c>
      <c r="F1" s="19" t="s">
        <v>12</v>
      </c>
    </row>
    <row r="2" customFormat="false" ht="18.75" hidden="false" customHeight="true" outlineLevel="0" collapsed="false">
      <c r="A2" s="20" t="s">
        <v>13</v>
      </c>
      <c r="B2" s="21" t="s">
        <v>14</v>
      </c>
      <c r="C2" s="22"/>
      <c r="D2" s="23" t="n">
        <f aca="false">+'GASTOS HIPOTECA-PRESTAMOS'!B5</f>
        <v>524.99</v>
      </c>
      <c r="E2" s="22"/>
      <c r="F2" s="22"/>
    </row>
    <row r="3" customFormat="false" ht="36" hidden="false" customHeight="true" outlineLevel="0" collapsed="false">
      <c r="A3" s="20" t="s">
        <v>13</v>
      </c>
      <c r="B3" s="21" t="s">
        <v>15</v>
      </c>
      <c r="C3" s="22"/>
      <c r="D3" s="23" t="n">
        <f aca="false">+'GASTOS SEGUROS-MUTUAS'!D5</f>
        <v>87.02</v>
      </c>
      <c r="E3" s="24"/>
      <c r="F3" s="25"/>
    </row>
    <row r="4" customFormat="false" ht="18.75" hidden="false" customHeight="true" outlineLevel="0" collapsed="false">
      <c r="A4" s="20" t="s">
        <v>16</v>
      </c>
      <c r="B4" s="26" t="s">
        <v>17</v>
      </c>
      <c r="C4" s="27" t="n">
        <v>400</v>
      </c>
      <c r="D4" s="28" t="n">
        <f aca="false">+'GASTOS-SUPERMERCADO'!C39</f>
        <v>539.09</v>
      </c>
      <c r="E4" s="29" t="n">
        <f aca="false">+C4-D4</f>
        <v>-139.09</v>
      </c>
      <c r="F4" s="30" t="n">
        <f aca="false">+D4/$C$4</f>
        <v>1.347725</v>
      </c>
      <c r="G4" s="31"/>
    </row>
    <row r="5" customFormat="false" ht="24.75" hidden="false" customHeight="true" outlineLevel="0" collapsed="false">
      <c r="A5" s="20" t="s">
        <v>16</v>
      </c>
      <c r="B5" s="26" t="s">
        <v>18</v>
      </c>
      <c r="C5" s="27" t="n">
        <f aca="false">+'GASTO-GASOLINA'!B17</f>
        <v>200</v>
      </c>
      <c r="D5" s="28" t="n">
        <f aca="false">+'GASTO-GASOLINA'!C17</f>
        <v>289.053</v>
      </c>
      <c r="E5" s="29" t="n">
        <f aca="false">+C5-D5</f>
        <v>-89.053</v>
      </c>
      <c r="F5" s="30" t="n">
        <f aca="false">+D5/$C$5</f>
        <v>1.445265</v>
      </c>
    </row>
    <row r="6" customFormat="false" ht="18.75" hidden="false" customHeight="true" outlineLevel="0" collapsed="false">
      <c r="A6" s="20" t="s">
        <v>16</v>
      </c>
      <c r="B6" s="26" t="s">
        <v>19</v>
      </c>
      <c r="C6" s="27" t="n">
        <v>20</v>
      </c>
      <c r="D6" s="28" t="n">
        <f aca="false">+'GASTOS-SALUD'!C4</f>
        <v>19.85</v>
      </c>
      <c r="E6" s="29" t="n">
        <f aca="false">+C6-D6</f>
        <v>0.149999999999999</v>
      </c>
      <c r="F6" s="30" t="n">
        <f aca="false">+D6/$C$6</f>
        <v>0.9925</v>
      </c>
    </row>
    <row r="7" customFormat="false" ht="18.75" hidden="false" customHeight="true" outlineLevel="0" collapsed="false">
      <c r="A7" s="20" t="s">
        <v>16</v>
      </c>
      <c r="B7" s="26" t="s">
        <v>20</v>
      </c>
      <c r="C7" s="27" t="n">
        <v>100</v>
      </c>
      <c r="D7" s="28" t="n">
        <f aca="false">+'GASTO RESTAURANT'!C15</f>
        <v>88.75</v>
      </c>
      <c r="E7" s="29" t="n">
        <f aca="false">+C7-D7</f>
        <v>11.25</v>
      </c>
      <c r="F7" s="30" t="n">
        <f aca="false">+D7/$C$7</f>
        <v>0.8875</v>
      </c>
    </row>
    <row r="8" customFormat="false" ht="21" hidden="false" customHeight="true" outlineLevel="0" collapsed="false">
      <c r="A8" s="20" t="s">
        <v>16</v>
      </c>
      <c r="B8" s="32" t="s">
        <v>21</v>
      </c>
      <c r="C8" s="33"/>
      <c r="D8" s="33" t="n">
        <f aca="false">+'GASTO BIENESTAR Y BELLEZA'!C5</f>
        <v>77</v>
      </c>
      <c r="E8" s="34"/>
      <c r="F8" s="35"/>
    </row>
    <row r="9" customFormat="false" ht="21" hidden="false" customHeight="true" outlineLevel="0" collapsed="false">
      <c r="A9" s="20" t="s">
        <v>16</v>
      </c>
      <c r="B9" s="32" t="s">
        <v>22</v>
      </c>
      <c r="C9" s="33"/>
      <c r="D9" s="33" t="n">
        <f aca="false">+'DINERO CAJERO'!D4</f>
        <v>110</v>
      </c>
      <c r="E9" s="34"/>
      <c r="F9" s="35"/>
    </row>
    <row r="10" customFormat="false" ht="21" hidden="false" customHeight="true" outlineLevel="0" collapsed="false">
      <c r="A10" s="20" t="s">
        <v>16</v>
      </c>
      <c r="B10" s="32" t="s">
        <v>23</v>
      </c>
      <c r="C10" s="33"/>
      <c r="D10" s="33" t="n">
        <f aca="false">+'GASTOS TRANSFERENCIAS'!D6</f>
        <v>125</v>
      </c>
      <c r="E10" s="34"/>
      <c r="F10" s="35"/>
    </row>
    <row r="11" customFormat="false" ht="21" hidden="false" customHeight="true" outlineLevel="0" collapsed="false">
      <c r="A11" s="20" t="s">
        <v>16</v>
      </c>
      <c r="B11" s="32" t="s">
        <v>24</v>
      </c>
      <c r="C11" s="33"/>
      <c r="D11" s="36" t="n">
        <f aca="false">+'GASTOS DE ROPA-CALZADO'!D6</f>
        <v>55.47</v>
      </c>
      <c r="E11" s="34"/>
      <c r="F11" s="35"/>
    </row>
    <row r="12" customFormat="false" ht="21" hidden="false" customHeight="true" outlineLevel="0" collapsed="false">
      <c r="A12" s="20" t="s">
        <v>13</v>
      </c>
      <c r="B12" s="32" t="s">
        <v>25</v>
      </c>
      <c r="C12" s="33"/>
      <c r="D12" s="36" t="n">
        <v>382</v>
      </c>
      <c r="E12" s="34"/>
      <c r="F12" s="35"/>
    </row>
    <row r="13" customFormat="false" ht="21" hidden="false" customHeight="true" outlineLevel="0" collapsed="false">
      <c r="A13" s="20" t="s">
        <v>26</v>
      </c>
      <c r="B13" s="32" t="s">
        <v>27</v>
      </c>
      <c r="C13" s="33"/>
      <c r="D13" s="33" t="n">
        <f aca="false">+'GASTOS-TARJETA CREDITO'!C12</f>
        <v>874</v>
      </c>
      <c r="E13" s="34"/>
      <c r="F13" s="35"/>
    </row>
    <row r="14" customFormat="false" ht="15.75" hidden="false" customHeight="false" outlineLevel="0" collapsed="false">
      <c r="B14" s="37" t="s">
        <v>28</v>
      </c>
      <c r="C14" s="38"/>
      <c r="D14" s="38" t="n">
        <f aca="false">SUM(D2:D13)</f>
        <v>3172.223</v>
      </c>
      <c r="E14" s="39"/>
      <c r="F14" s="40"/>
    </row>
    <row r="15" customFormat="false" ht="19.7" hidden="false" customHeight="false" outlineLevel="0" collapsed="false">
      <c r="B15" s="37" t="s">
        <v>29</v>
      </c>
      <c r="C15" s="38"/>
      <c r="D15" s="41" t="n">
        <f aca="false">SUM(D2:D11)</f>
        <v>1916.223</v>
      </c>
      <c r="E15" s="39"/>
      <c r="F15" s="40"/>
    </row>
    <row r="16" customFormat="false" ht="15.75" hidden="false" customHeight="false" outlineLevel="0" collapsed="false">
      <c r="B16" s="32" t="s">
        <v>30</v>
      </c>
      <c r="D16" s="42" t="n">
        <v>1580</v>
      </c>
    </row>
    <row r="18" customFormat="false" ht="15.75" hidden="false" customHeight="false" outlineLevel="0" collapsed="false">
      <c r="D18" s="43"/>
      <c r="E18" s="4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27.37"/>
    <col collapsed="false" customWidth="true" hidden="false" outlineLevel="0" max="3" min="3" style="0" width="24"/>
    <col collapsed="false" customWidth="true" hidden="false" outlineLevel="0" max="5" min="5" style="0" width="14.75"/>
    <col collapsed="false" customWidth="true" hidden="false" outlineLevel="0" max="6" min="6" style="0" width="43.63"/>
  </cols>
  <sheetData>
    <row r="1" customFormat="false" ht="15.75" hidden="false" customHeight="false" outlineLevel="0" collapsed="false">
      <c r="A1" s="45" t="s">
        <v>31</v>
      </c>
      <c r="B1" s="46" t="s">
        <v>32</v>
      </c>
      <c r="C1" s="46" t="s">
        <v>33</v>
      </c>
      <c r="D1" s="46" t="s">
        <v>34</v>
      </c>
      <c r="E1" s="47" t="s">
        <v>35</v>
      </c>
      <c r="F1" s="47" t="s">
        <v>36</v>
      </c>
    </row>
    <row r="2" customFormat="false" ht="15.75" hidden="false" customHeight="false" outlineLevel="0" collapsed="false">
      <c r="A2" s="48" t="n">
        <v>46250</v>
      </c>
      <c r="B2" s="49" t="s">
        <v>37</v>
      </c>
      <c r="C2" s="49" t="s">
        <v>38</v>
      </c>
      <c r="D2" s="50" t="n">
        <v>20</v>
      </c>
      <c r="E2" s="51" t="s">
        <v>39</v>
      </c>
      <c r="F2" s="52" t="s">
        <v>40</v>
      </c>
    </row>
    <row r="3" customFormat="false" ht="15.75" hidden="false" customHeight="false" outlineLevel="0" collapsed="false">
      <c r="A3" s="48" t="n">
        <v>46262</v>
      </c>
      <c r="B3" s="49" t="s">
        <v>41</v>
      </c>
      <c r="C3" s="49" t="s">
        <v>42</v>
      </c>
      <c r="D3" s="50" t="n">
        <v>90</v>
      </c>
      <c r="E3" s="51" t="s">
        <v>39</v>
      </c>
      <c r="F3" s="52" t="s">
        <v>43</v>
      </c>
    </row>
    <row r="4" customFormat="false" ht="15.75" hidden="false" customHeight="false" outlineLevel="0" collapsed="false">
      <c r="C4" s="17" t="s">
        <v>44</v>
      </c>
      <c r="D4" s="53" t="n">
        <f aca="false">SUM(D2:D3)</f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96.87"/>
    <col collapsed="false" customWidth="true" hidden="false" outlineLevel="0" max="3" min="2" style="0" width="16.88"/>
  </cols>
  <sheetData>
    <row r="1" customFormat="false" ht="15.75" hidden="false" customHeight="false" outlineLevel="0" collapsed="false">
      <c r="A1" s="1" t="s">
        <v>45</v>
      </c>
      <c r="B1" s="2" t="n">
        <v>46235</v>
      </c>
      <c r="C1" s="2" t="n">
        <v>46266</v>
      </c>
      <c r="D1" s="2" t="n">
        <v>46296</v>
      </c>
      <c r="E1" s="2" t="n">
        <v>46327</v>
      </c>
      <c r="F1" s="2" t="n">
        <v>46357</v>
      </c>
    </row>
    <row r="2" customFormat="false" ht="15.75" hidden="false" customHeight="false" outlineLevel="0" collapsed="false">
      <c r="A2" s="49" t="s">
        <v>46</v>
      </c>
      <c r="B2" s="54" t="n">
        <v>220.57</v>
      </c>
      <c r="C2" s="54"/>
      <c r="D2" s="49"/>
      <c r="E2" s="49"/>
      <c r="F2" s="49"/>
    </row>
    <row r="3" customFormat="false" ht="15.75" hidden="false" customHeight="false" outlineLevel="0" collapsed="false">
      <c r="A3" s="49" t="s">
        <v>47</v>
      </c>
      <c r="B3" s="54" t="n">
        <v>56.48</v>
      </c>
      <c r="C3" s="54"/>
      <c r="D3" s="49"/>
      <c r="E3" s="49"/>
      <c r="F3" s="49"/>
    </row>
    <row r="4" customFormat="false" ht="15.75" hidden="false" customHeight="false" outlineLevel="0" collapsed="false">
      <c r="A4" s="49" t="s">
        <v>48</v>
      </c>
      <c r="B4" s="54" t="n">
        <v>247.94</v>
      </c>
      <c r="C4" s="54"/>
      <c r="D4" s="49"/>
      <c r="E4" s="49"/>
      <c r="F4" s="49"/>
    </row>
    <row r="5" customFormat="false" ht="21" hidden="false" customHeight="true" outlineLevel="0" collapsed="false">
      <c r="A5" s="55" t="s">
        <v>49</v>
      </c>
      <c r="B5" s="56" t="n">
        <f aca="false">SUM(B2:B4)</f>
        <v>524.99</v>
      </c>
      <c r="C5" s="54"/>
      <c r="D5" s="49"/>
      <c r="E5" s="49"/>
      <c r="F5" s="49"/>
    </row>
    <row r="6" customFormat="false" ht="15.75" hidden="false" customHeight="false" outlineLevel="0" collapsed="false">
      <c r="A6" s="1" t="s">
        <v>50</v>
      </c>
      <c r="B6" s="2" t="n">
        <v>46235</v>
      </c>
      <c r="C6" s="2" t="n">
        <v>46266</v>
      </c>
      <c r="D6" s="2" t="n">
        <v>46296</v>
      </c>
      <c r="E6" s="2" t="n">
        <v>46327</v>
      </c>
      <c r="F6" s="2" t="n">
        <v>46357</v>
      </c>
    </row>
    <row r="7" customFormat="false" ht="15.75" hidden="false" customHeight="false" outlineLevel="0" collapsed="false">
      <c r="A7" s="49" t="s">
        <v>51</v>
      </c>
      <c r="B7" s="54" t="n">
        <v>41.12</v>
      </c>
      <c r="C7" s="54"/>
      <c r="D7" s="49"/>
      <c r="E7" s="49"/>
      <c r="F7" s="49"/>
    </row>
    <row r="8" customFormat="false" ht="15.75" hidden="false" customHeight="false" outlineLevel="0" collapsed="false">
      <c r="A8" s="49" t="s">
        <v>52</v>
      </c>
      <c r="B8" s="54" t="n">
        <v>90.24</v>
      </c>
      <c r="C8" s="54"/>
      <c r="D8" s="49"/>
      <c r="E8" s="49"/>
      <c r="F8" s="49"/>
    </row>
    <row r="9" customFormat="false" ht="15.75" hidden="false" customHeight="false" outlineLevel="0" collapsed="false">
      <c r="A9" s="49" t="s">
        <v>53</v>
      </c>
      <c r="B9" s="54" t="n">
        <v>0</v>
      </c>
      <c r="C9" s="54"/>
      <c r="D9" s="49"/>
      <c r="E9" s="49"/>
      <c r="F9" s="49"/>
    </row>
    <row r="10" customFormat="false" ht="15.75" hidden="false" customHeight="false" outlineLevel="0" collapsed="false">
      <c r="A10" s="49" t="s">
        <v>54</v>
      </c>
      <c r="B10" s="54" t="n">
        <v>41.63</v>
      </c>
      <c r="C10" s="54"/>
      <c r="D10" s="49"/>
      <c r="E10" s="49"/>
      <c r="F10" s="49"/>
    </row>
    <row r="11" customFormat="false" ht="23.25" hidden="false" customHeight="true" outlineLevel="0" collapsed="false">
      <c r="A11" s="55" t="s">
        <v>55</v>
      </c>
      <c r="B11" s="57" t="n">
        <f aca="false">SUM(B7:B10)</f>
        <v>172.99</v>
      </c>
      <c r="C11" s="57"/>
      <c r="D11" s="55"/>
      <c r="E11" s="55"/>
      <c r="F11" s="55"/>
    </row>
    <row r="12" customFormat="false" ht="25.5" hidden="false" customHeight="true" outlineLevel="0" collapsed="false"/>
    <row r="13" customFormat="false" ht="25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B40" activeCellId="0" sqref="B40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58" width="73.87"/>
    <col collapsed="false" customWidth="true" hidden="false" outlineLevel="0" max="2" min="2" style="0" width="45.12"/>
    <col collapsed="false" customWidth="true" hidden="false" outlineLevel="0" max="3" min="3" style="0" width="28.51"/>
    <col collapsed="false" customWidth="true" hidden="false" outlineLevel="0" max="4" min="4" style="0" width="21.25"/>
    <col collapsed="false" customWidth="true" hidden="false" outlineLevel="0" max="5" min="5" style="17" width="17.87"/>
    <col collapsed="false" customWidth="true" hidden="false" outlineLevel="0" max="6" min="6" style="17" width="21.37"/>
  </cols>
  <sheetData>
    <row r="1" customFormat="false" ht="15.75" hidden="false" customHeight="false" outlineLevel="0" collapsed="false">
      <c r="A1" s="45" t="s">
        <v>31</v>
      </c>
      <c r="B1" s="46" t="s">
        <v>32</v>
      </c>
      <c r="C1" s="46" t="s">
        <v>33</v>
      </c>
      <c r="D1" s="46" t="s">
        <v>34</v>
      </c>
      <c r="E1" s="47" t="s">
        <v>35</v>
      </c>
      <c r="F1" s="47" t="s">
        <v>36</v>
      </c>
      <c r="G1" s="59" t="s">
        <v>56</v>
      </c>
      <c r="H1" s="59" t="s">
        <v>57</v>
      </c>
    </row>
    <row r="2" customFormat="false" ht="15.75" hidden="false" customHeight="true" outlineLevel="0" collapsed="false">
      <c r="A2" s="48" t="n">
        <v>46236</v>
      </c>
      <c r="B2" s="49" t="s">
        <v>58</v>
      </c>
      <c r="C2" s="49" t="s">
        <v>59</v>
      </c>
      <c r="D2" s="50" t="n">
        <v>5.24</v>
      </c>
      <c r="E2" s="51" t="s">
        <v>39</v>
      </c>
      <c r="F2" s="52" t="s">
        <v>60</v>
      </c>
      <c r="G2" s="60" t="s">
        <v>61</v>
      </c>
      <c r="H2" s="60" t="s">
        <v>62</v>
      </c>
    </row>
    <row r="3" customFormat="false" ht="15.75" hidden="false" customHeight="false" outlineLevel="0" collapsed="false">
      <c r="A3" s="48" t="n">
        <v>46236</v>
      </c>
      <c r="B3" s="49" t="s">
        <v>58</v>
      </c>
      <c r="C3" s="49" t="s">
        <v>63</v>
      </c>
      <c r="D3" s="50" t="n">
        <v>10.76</v>
      </c>
      <c r="E3" s="51" t="s">
        <v>39</v>
      </c>
      <c r="F3" s="52" t="s">
        <v>60</v>
      </c>
      <c r="G3" s="60" t="s">
        <v>61</v>
      </c>
      <c r="H3" s="60" t="s">
        <v>62</v>
      </c>
    </row>
    <row r="4" customFormat="false" ht="15.75" hidden="false" customHeight="false" outlineLevel="0" collapsed="false">
      <c r="A4" s="48" t="n">
        <v>46237</v>
      </c>
      <c r="B4" s="49" t="s">
        <v>58</v>
      </c>
      <c r="C4" s="49" t="s">
        <v>64</v>
      </c>
      <c r="D4" s="50" t="n">
        <v>9.21</v>
      </c>
      <c r="E4" s="51" t="s">
        <v>39</v>
      </c>
      <c r="F4" s="52" t="s">
        <v>60</v>
      </c>
      <c r="G4" s="60" t="s">
        <v>61</v>
      </c>
      <c r="H4" s="60" t="s">
        <v>62</v>
      </c>
    </row>
    <row r="5" customFormat="false" ht="15.75" hidden="false" customHeight="false" outlineLevel="0" collapsed="false">
      <c r="A5" s="48" t="n">
        <v>46238</v>
      </c>
      <c r="B5" s="49" t="s">
        <v>58</v>
      </c>
      <c r="C5" s="49" t="s">
        <v>64</v>
      </c>
      <c r="D5" s="50" t="n">
        <v>25.4</v>
      </c>
      <c r="E5" s="51" t="s">
        <v>39</v>
      </c>
      <c r="F5" s="52" t="s">
        <v>60</v>
      </c>
      <c r="G5" s="60" t="s">
        <v>61</v>
      </c>
      <c r="H5" s="60" t="s">
        <v>62</v>
      </c>
    </row>
    <row r="6" customFormat="false" ht="15.75" hidden="false" customHeight="false" outlineLevel="0" collapsed="false">
      <c r="A6" s="48" t="n">
        <v>46239</v>
      </c>
      <c r="B6" s="49" t="s">
        <v>58</v>
      </c>
      <c r="C6" s="49" t="s">
        <v>63</v>
      </c>
      <c r="D6" s="50" t="n">
        <v>23.57</v>
      </c>
      <c r="E6" s="51" t="s">
        <v>39</v>
      </c>
      <c r="F6" s="52" t="s">
        <v>60</v>
      </c>
      <c r="G6" s="60" t="s">
        <v>61</v>
      </c>
      <c r="H6" s="60" t="s">
        <v>62</v>
      </c>
    </row>
    <row r="7" customFormat="false" ht="15.75" hidden="false" customHeight="false" outlineLevel="0" collapsed="false">
      <c r="A7" s="48" t="n">
        <v>46240</v>
      </c>
      <c r="B7" s="49" t="s">
        <v>58</v>
      </c>
      <c r="C7" s="49" t="s">
        <v>64</v>
      </c>
      <c r="D7" s="50" t="n">
        <v>121.73</v>
      </c>
      <c r="E7" s="51" t="s">
        <v>65</v>
      </c>
      <c r="F7" s="51" t="s">
        <v>60</v>
      </c>
      <c r="G7" s="60" t="s">
        <v>61</v>
      </c>
      <c r="H7" s="60" t="s">
        <v>62</v>
      </c>
    </row>
    <row r="8" customFormat="false" ht="15.75" hidden="false" customHeight="false" outlineLevel="0" collapsed="false">
      <c r="A8" s="48" t="n">
        <v>46241</v>
      </c>
      <c r="B8" s="49" t="s">
        <v>58</v>
      </c>
      <c r="C8" s="49" t="s">
        <v>66</v>
      </c>
      <c r="D8" s="50" t="n">
        <v>5.3</v>
      </c>
      <c r="E8" s="51" t="s">
        <v>39</v>
      </c>
      <c r="F8" s="51" t="s">
        <v>60</v>
      </c>
      <c r="G8" s="60" t="s">
        <v>61</v>
      </c>
      <c r="H8" s="60" t="s">
        <v>62</v>
      </c>
    </row>
    <row r="9" customFormat="false" ht="15.75" hidden="false" customHeight="false" outlineLevel="0" collapsed="false">
      <c r="A9" s="48" t="n">
        <v>46242</v>
      </c>
      <c r="B9" s="49" t="s">
        <v>58</v>
      </c>
      <c r="C9" s="49" t="s">
        <v>67</v>
      </c>
      <c r="D9" s="50" t="n">
        <v>4.13</v>
      </c>
      <c r="E9" s="51" t="s">
        <v>39</v>
      </c>
      <c r="F9" s="51" t="s">
        <v>60</v>
      </c>
      <c r="G9" s="60" t="s">
        <v>68</v>
      </c>
      <c r="H9" s="60" t="s">
        <v>62</v>
      </c>
    </row>
    <row r="10" customFormat="false" ht="15.75" hidden="false" customHeight="false" outlineLevel="0" collapsed="false">
      <c r="A10" s="48" t="n">
        <v>46244</v>
      </c>
      <c r="B10" s="49" t="s">
        <v>37</v>
      </c>
      <c r="C10" s="49" t="s">
        <v>69</v>
      </c>
      <c r="D10" s="50" t="n">
        <v>9.95</v>
      </c>
      <c r="E10" s="51" t="s">
        <v>39</v>
      </c>
      <c r="F10" s="51" t="s">
        <v>60</v>
      </c>
      <c r="G10" s="60" t="s">
        <v>61</v>
      </c>
      <c r="H10" s="60" t="s">
        <v>62</v>
      </c>
    </row>
    <row r="11" customFormat="false" ht="15.75" hidden="false" customHeight="false" outlineLevel="0" collapsed="false">
      <c r="A11" s="48" t="n">
        <v>46244</v>
      </c>
      <c r="B11" s="49" t="s">
        <v>37</v>
      </c>
      <c r="C11" s="49" t="s">
        <v>69</v>
      </c>
      <c r="D11" s="50" t="n">
        <v>17.76</v>
      </c>
      <c r="E11" s="51" t="s">
        <v>39</v>
      </c>
      <c r="F11" s="51" t="s">
        <v>60</v>
      </c>
      <c r="G11" s="60" t="s">
        <v>68</v>
      </c>
      <c r="H11" s="60" t="s">
        <v>70</v>
      </c>
    </row>
    <row r="12" customFormat="false" ht="15.75" hidden="false" customHeight="false" outlineLevel="0" collapsed="false">
      <c r="A12" s="48" t="n">
        <v>46246</v>
      </c>
      <c r="B12" s="49" t="s">
        <v>37</v>
      </c>
      <c r="C12" s="49" t="s">
        <v>71</v>
      </c>
      <c r="D12" s="50" t="n">
        <v>13.01</v>
      </c>
      <c r="E12" s="51" t="s">
        <v>39</v>
      </c>
      <c r="F12" s="51" t="s">
        <v>60</v>
      </c>
      <c r="G12" s="60" t="s">
        <v>61</v>
      </c>
      <c r="H12" s="60" t="s">
        <v>62</v>
      </c>
    </row>
    <row r="13" customFormat="false" ht="15.75" hidden="false" customHeight="false" outlineLevel="0" collapsed="false">
      <c r="A13" s="48" t="n">
        <v>46247</v>
      </c>
      <c r="B13" s="49" t="s">
        <v>37</v>
      </c>
      <c r="C13" s="49" t="s">
        <v>71</v>
      </c>
      <c r="D13" s="50" t="n">
        <v>3.6</v>
      </c>
      <c r="E13" s="51" t="s">
        <v>39</v>
      </c>
      <c r="F13" s="51" t="s">
        <v>60</v>
      </c>
      <c r="G13" s="60" t="s">
        <v>61</v>
      </c>
      <c r="H13" s="60" t="s">
        <v>62</v>
      </c>
    </row>
    <row r="14" customFormat="false" ht="15.75" hidden="false" customHeight="false" outlineLevel="0" collapsed="false">
      <c r="A14" s="48" t="n">
        <v>46248</v>
      </c>
      <c r="B14" s="49" t="s">
        <v>37</v>
      </c>
      <c r="C14" s="49" t="s">
        <v>72</v>
      </c>
      <c r="D14" s="50" t="n">
        <v>10.15</v>
      </c>
      <c r="E14" s="51" t="s">
        <v>39</v>
      </c>
      <c r="F14" s="51" t="s">
        <v>60</v>
      </c>
      <c r="G14" s="60" t="s">
        <v>61</v>
      </c>
      <c r="H14" s="60" t="s">
        <v>62</v>
      </c>
    </row>
    <row r="15" customFormat="false" ht="15.75" hidden="false" customHeight="false" outlineLevel="0" collapsed="false">
      <c r="A15" s="48" t="s">
        <v>73</v>
      </c>
      <c r="B15" s="61" t="s">
        <v>37</v>
      </c>
      <c r="C15" s="49" t="s">
        <v>64</v>
      </c>
      <c r="D15" s="50" t="n">
        <v>32.01</v>
      </c>
      <c r="E15" s="51" t="s">
        <v>39</v>
      </c>
      <c r="F15" s="51" t="s">
        <v>60</v>
      </c>
      <c r="G15" s="60" t="s">
        <v>61</v>
      </c>
      <c r="H15" s="60" t="s">
        <v>62</v>
      </c>
    </row>
    <row r="16" customFormat="false" ht="15.75" hidden="false" customHeight="false" outlineLevel="0" collapsed="false">
      <c r="A16" s="48" t="s">
        <v>74</v>
      </c>
      <c r="B16" s="61" t="s">
        <v>37</v>
      </c>
      <c r="C16" s="49" t="s">
        <v>59</v>
      </c>
      <c r="D16" s="50" t="n">
        <v>21.13</v>
      </c>
      <c r="E16" s="51" t="s">
        <v>39</v>
      </c>
      <c r="F16" s="51" t="s">
        <v>60</v>
      </c>
      <c r="G16" s="60" t="s">
        <v>61</v>
      </c>
      <c r="H16" s="60" t="s">
        <v>62</v>
      </c>
    </row>
    <row r="17" customFormat="false" ht="15.75" hidden="false" customHeight="false" outlineLevel="0" collapsed="false">
      <c r="A17" s="48" t="s">
        <v>75</v>
      </c>
      <c r="B17" s="61" t="s">
        <v>76</v>
      </c>
      <c r="C17" s="49" t="s">
        <v>77</v>
      </c>
      <c r="D17" s="50" t="n">
        <v>7.85</v>
      </c>
      <c r="E17" s="51" t="s">
        <v>39</v>
      </c>
      <c r="F17" s="51" t="s">
        <v>60</v>
      </c>
      <c r="G17" s="60" t="s">
        <v>61</v>
      </c>
      <c r="H17" s="60" t="s">
        <v>62</v>
      </c>
    </row>
    <row r="18" customFormat="false" ht="15.75" hidden="false" customHeight="false" outlineLevel="0" collapsed="false">
      <c r="A18" s="48" t="s">
        <v>78</v>
      </c>
      <c r="B18" s="61" t="s">
        <v>76</v>
      </c>
      <c r="C18" s="49" t="s">
        <v>71</v>
      </c>
      <c r="D18" s="50" t="n">
        <v>2.99</v>
      </c>
      <c r="E18" s="51" t="s">
        <v>39</v>
      </c>
      <c r="F18" s="51" t="s">
        <v>60</v>
      </c>
      <c r="G18" s="60" t="s">
        <v>61</v>
      </c>
      <c r="H18" s="60" t="s">
        <v>62</v>
      </c>
    </row>
    <row r="19" customFormat="false" ht="15.75" hidden="false" customHeight="false" outlineLevel="0" collapsed="false">
      <c r="A19" s="48" t="s">
        <v>78</v>
      </c>
      <c r="B19" s="61" t="s">
        <v>76</v>
      </c>
      <c r="C19" s="49" t="s">
        <v>79</v>
      </c>
      <c r="D19" s="50" t="n">
        <v>10.51</v>
      </c>
      <c r="E19" s="51" t="s">
        <v>39</v>
      </c>
      <c r="F19" s="51" t="s">
        <v>60</v>
      </c>
      <c r="G19" s="60" t="s">
        <v>61</v>
      </c>
      <c r="H19" s="60" t="s">
        <v>62</v>
      </c>
    </row>
    <row r="20" customFormat="false" ht="15.75" hidden="false" customHeight="false" outlineLevel="0" collapsed="false">
      <c r="A20" s="48" t="s">
        <v>80</v>
      </c>
      <c r="B20" s="61" t="s">
        <v>76</v>
      </c>
      <c r="C20" s="49" t="s">
        <v>64</v>
      </c>
      <c r="D20" s="50" t="n">
        <v>88.62</v>
      </c>
      <c r="E20" s="51" t="s">
        <v>39</v>
      </c>
      <c r="F20" s="51" t="s">
        <v>60</v>
      </c>
      <c r="G20" s="60" t="s">
        <v>61</v>
      </c>
      <c r="H20" s="60" t="s">
        <v>62</v>
      </c>
    </row>
    <row r="21" customFormat="false" ht="15.75" hidden="false" customHeight="false" outlineLevel="0" collapsed="false">
      <c r="A21" s="48" t="s">
        <v>81</v>
      </c>
      <c r="B21" s="61" t="s">
        <v>76</v>
      </c>
      <c r="C21" s="49" t="s">
        <v>59</v>
      </c>
      <c r="D21" s="50" t="n">
        <v>5.99</v>
      </c>
      <c r="E21" s="51" t="s">
        <v>39</v>
      </c>
      <c r="F21" s="51" t="s">
        <v>60</v>
      </c>
      <c r="G21" s="60" t="s">
        <v>61</v>
      </c>
      <c r="H21" s="60" t="s">
        <v>62</v>
      </c>
    </row>
    <row r="22" customFormat="false" ht="15.75" hidden="false" customHeight="false" outlineLevel="0" collapsed="false">
      <c r="A22" s="48" t="s">
        <v>82</v>
      </c>
      <c r="B22" s="61" t="s">
        <v>76</v>
      </c>
      <c r="C22" s="49" t="s">
        <v>83</v>
      </c>
      <c r="D22" s="50" t="n">
        <v>5.44</v>
      </c>
      <c r="E22" s="51" t="s">
        <v>39</v>
      </c>
      <c r="F22" s="51" t="s">
        <v>60</v>
      </c>
      <c r="G22" s="60" t="s">
        <v>61</v>
      </c>
      <c r="H22" s="60" t="s">
        <v>62</v>
      </c>
    </row>
    <row r="23" customFormat="false" ht="15.75" hidden="false" customHeight="false" outlineLevel="0" collapsed="false">
      <c r="A23" s="48" t="s">
        <v>82</v>
      </c>
      <c r="B23" s="61" t="s">
        <v>76</v>
      </c>
      <c r="C23" s="49" t="s">
        <v>83</v>
      </c>
      <c r="D23" s="50" t="n">
        <v>1.5</v>
      </c>
      <c r="E23" s="51" t="s">
        <v>39</v>
      </c>
      <c r="F23" s="51" t="s">
        <v>60</v>
      </c>
      <c r="G23" s="60" t="s">
        <v>61</v>
      </c>
      <c r="H23" s="60" t="s">
        <v>62</v>
      </c>
    </row>
    <row r="24" customFormat="false" ht="15.75" hidden="false" customHeight="false" outlineLevel="0" collapsed="false">
      <c r="A24" s="48" t="s">
        <v>84</v>
      </c>
      <c r="B24" s="61" t="s">
        <v>76</v>
      </c>
      <c r="C24" s="49" t="s">
        <v>83</v>
      </c>
      <c r="D24" s="50" t="n">
        <v>1.5</v>
      </c>
      <c r="E24" s="51" t="s">
        <v>39</v>
      </c>
      <c r="F24" s="51" t="s">
        <v>60</v>
      </c>
      <c r="G24" s="60" t="s">
        <v>61</v>
      </c>
      <c r="H24" s="60" t="s">
        <v>62</v>
      </c>
    </row>
    <row r="25" customFormat="false" ht="15.75" hidden="false" customHeight="false" outlineLevel="0" collapsed="false">
      <c r="A25" s="48" t="s">
        <v>85</v>
      </c>
      <c r="B25" s="61" t="s">
        <v>41</v>
      </c>
      <c r="C25" s="49" t="s">
        <v>86</v>
      </c>
      <c r="D25" s="50" t="n">
        <v>22.99</v>
      </c>
      <c r="E25" s="51" t="s">
        <v>39</v>
      </c>
      <c r="F25" s="51" t="s">
        <v>60</v>
      </c>
      <c r="G25" s="60" t="s">
        <v>61</v>
      </c>
      <c r="H25" s="60" t="s">
        <v>62</v>
      </c>
    </row>
    <row r="26" customFormat="false" ht="15.75" hidden="false" customHeight="false" outlineLevel="0" collapsed="false">
      <c r="A26" s="48" t="s">
        <v>85</v>
      </c>
      <c r="B26" s="61" t="s">
        <v>41</v>
      </c>
      <c r="C26" s="49" t="s">
        <v>86</v>
      </c>
      <c r="D26" s="50" t="n">
        <v>5.46</v>
      </c>
      <c r="E26" s="51" t="s">
        <v>39</v>
      </c>
      <c r="F26" s="51" t="s">
        <v>60</v>
      </c>
      <c r="G26" s="60" t="s">
        <v>61</v>
      </c>
      <c r="H26" s="60" t="s">
        <v>62</v>
      </c>
    </row>
    <row r="27" customFormat="false" ht="15.75" hidden="false" customHeight="false" outlineLevel="0" collapsed="false">
      <c r="A27" s="48" t="s">
        <v>87</v>
      </c>
      <c r="B27" s="61" t="s">
        <v>41</v>
      </c>
      <c r="C27" s="49" t="s">
        <v>71</v>
      </c>
      <c r="D27" s="50" t="n">
        <v>4.45</v>
      </c>
      <c r="E27" s="51" t="s">
        <v>39</v>
      </c>
      <c r="F27" s="51" t="s">
        <v>60</v>
      </c>
      <c r="G27" s="60" t="s">
        <v>61</v>
      </c>
      <c r="H27" s="60" t="s">
        <v>62</v>
      </c>
    </row>
    <row r="28" customFormat="false" ht="15.75" hidden="false" customHeight="false" outlineLevel="0" collapsed="false">
      <c r="A28" s="48" t="s">
        <v>88</v>
      </c>
      <c r="B28" s="61" t="s">
        <v>41</v>
      </c>
      <c r="C28" s="49" t="s">
        <v>89</v>
      </c>
      <c r="D28" s="50" t="n">
        <v>53.21</v>
      </c>
      <c r="E28" s="51" t="s">
        <v>39</v>
      </c>
      <c r="F28" s="51" t="s">
        <v>60</v>
      </c>
      <c r="G28" s="60" t="s">
        <v>61</v>
      </c>
      <c r="H28" s="60" t="s">
        <v>62</v>
      </c>
    </row>
    <row r="29" customFormat="false" ht="15.75" hidden="false" customHeight="false" outlineLevel="0" collapsed="false">
      <c r="A29" s="48" t="s">
        <v>88</v>
      </c>
      <c r="B29" s="49" t="s">
        <v>41</v>
      </c>
      <c r="C29" s="49" t="s">
        <v>86</v>
      </c>
      <c r="D29" s="50" t="n">
        <v>2.46</v>
      </c>
      <c r="E29" s="62" t="s">
        <v>39</v>
      </c>
      <c r="F29" s="51" t="s">
        <v>60</v>
      </c>
      <c r="G29" s="60" t="s">
        <v>68</v>
      </c>
      <c r="H29" s="60" t="s">
        <v>62</v>
      </c>
    </row>
    <row r="30" customFormat="false" ht="15.75" hidden="false" customHeight="false" outlineLevel="0" collapsed="false">
      <c r="A30" s="48" t="s">
        <v>90</v>
      </c>
      <c r="B30" s="49" t="s">
        <v>41</v>
      </c>
      <c r="C30" s="49" t="s">
        <v>91</v>
      </c>
      <c r="D30" s="50" t="n">
        <v>5.87</v>
      </c>
      <c r="E30" s="51" t="s">
        <v>39</v>
      </c>
      <c r="F30" s="51" t="s">
        <v>60</v>
      </c>
      <c r="G30" s="60" t="s">
        <v>68</v>
      </c>
      <c r="H30" s="60" t="s">
        <v>62</v>
      </c>
    </row>
    <row r="31" customFormat="false" ht="15.75" hidden="false" customHeight="false" outlineLevel="0" collapsed="false">
      <c r="A31" s="48" t="s">
        <v>92</v>
      </c>
      <c r="B31" s="49" t="s">
        <v>41</v>
      </c>
      <c r="C31" s="49" t="s">
        <v>86</v>
      </c>
      <c r="D31" s="50" t="n">
        <v>7.3</v>
      </c>
      <c r="E31" s="51" t="s">
        <v>39</v>
      </c>
      <c r="F31" s="51" t="s">
        <v>60</v>
      </c>
      <c r="G31" s="60" t="s">
        <v>68</v>
      </c>
      <c r="H31" s="60" t="s">
        <v>62</v>
      </c>
    </row>
    <row r="32" customFormat="false" ht="15.75" hidden="false" customHeight="false" outlineLevel="0" collapsed="false">
      <c r="A32" s="63"/>
      <c r="B32" s="64"/>
      <c r="C32" s="65" t="s">
        <v>93</v>
      </c>
      <c r="D32" s="66" t="n">
        <f aca="false">SUM(D2:D31)</f>
        <v>539.09</v>
      </c>
      <c r="E32" s="67"/>
      <c r="F32" s="67"/>
      <c r="H32" s="60" t="s">
        <v>62</v>
      </c>
    </row>
    <row r="33" customFormat="false" ht="15.75" hidden="false" customHeight="false" outlineLevel="0" collapsed="false">
      <c r="A33" s="68"/>
      <c r="B33" s="69"/>
      <c r="C33" s="69"/>
      <c r="D33" s="70"/>
      <c r="E33" s="71"/>
      <c r="F33" s="71"/>
    </row>
    <row r="34" customFormat="false" ht="15.75" hidden="false" customHeight="false" outlineLevel="0" collapsed="false">
      <c r="A34" s="72" t="s">
        <v>94</v>
      </c>
      <c r="B34" s="73" t="s">
        <v>9</v>
      </c>
      <c r="C34" s="73" t="s">
        <v>95</v>
      </c>
      <c r="D34" s="73" t="s">
        <v>96</v>
      </c>
      <c r="E34" s="3" t="s">
        <v>97</v>
      </c>
      <c r="F34" s="3" t="s">
        <v>98</v>
      </c>
      <c r="H34" s="60" t="s">
        <v>62</v>
      </c>
    </row>
    <row r="35" customFormat="false" ht="15.75" hidden="false" customHeight="false" outlineLevel="0" collapsed="false">
      <c r="A35" s="74" t="s">
        <v>58</v>
      </c>
      <c r="B35" s="75" t="n">
        <v>130</v>
      </c>
      <c r="C35" s="75" t="n">
        <f aca="false">SUMIF($B$2:$B$31,"Semana 1",$D$2:$D$31)</f>
        <v>205.34</v>
      </c>
      <c r="D35" s="75" t="n">
        <f aca="false">B35-C35</f>
        <v>-75.34</v>
      </c>
      <c r="E35" s="76" t="n">
        <f aca="false">C35/B35</f>
        <v>1.57953846153846</v>
      </c>
      <c r="F35" s="77" t="str">
        <f aca="false">IF(C35&gt;B35,"🔴 SUPERADO","🟢 OK")</f>
        <v>🔴 SUPERADO</v>
      </c>
      <c r="H35" s="60" t="s">
        <v>62</v>
      </c>
    </row>
    <row r="36" customFormat="false" ht="15.75" hidden="false" customHeight="false" outlineLevel="0" collapsed="false">
      <c r="A36" s="74" t="s">
        <v>37</v>
      </c>
      <c r="B36" s="75" t="n">
        <v>130</v>
      </c>
      <c r="C36" s="75" t="n">
        <f aca="false">SUMIF($B$2:$B$31,"Semana 2",$D$2:$D$31)</f>
        <v>107.61</v>
      </c>
      <c r="D36" s="75" t="n">
        <f aca="false">B36-C36</f>
        <v>22.39</v>
      </c>
      <c r="E36" s="76" t="n">
        <f aca="false">C36/B36</f>
        <v>0.827769230769231</v>
      </c>
      <c r="F36" s="77" t="str">
        <f aca="false">IF(C36&gt;B36,"🔴 SUPERADO","🟢 OK")</f>
        <v>🟢 OK</v>
      </c>
      <c r="H36" s="60" t="s">
        <v>62</v>
      </c>
    </row>
    <row r="37" customFormat="false" ht="15.75" hidden="false" customHeight="false" outlineLevel="0" collapsed="false">
      <c r="A37" s="74" t="s">
        <v>76</v>
      </c>
      <c r="B37" s="75" t="n">
        <v>130</v>
      </c>
      <c r="C37" s="75" t="n">
        <f aca="false">SUMIF($B$2:$B$31,"Semana 3",$D$2:$D$31)</f>
        <v>124.4</v>
      </c>
      <c r="D37" s="75" t="n">
        <f aca="false">B37-C37</f>
        <v>5.59999999999999</v>
      </c>
      <c r="E37" s="76" t="n">
        <f aca="false">C37/B37</f>
        <v>0.956923076923077</v>
      </c>
      <c r="F37" s="77" t="str">
        <f aca="false">IF(C37&gt;B37,"🔴 SUPERADO","🟢 OK")</f>
        <v>🟢 OK</v>
      </c>
      <c r="H37" s="60" t="s">
        <v>62</v>
      </c>
    </row>
    <row r="38" customFormat="false" ht="15.75" hidden="false" customHeight="false" outlineLevel="0" collapsed="false">
      <c r="A38" s="74" t="s">
        <v>41</v>
      </c>
      <c r="B38" s="75" t="n">
        <v>130</v>
      </c>
      <c r="C38" s="75" t="n">
        <f aca="false">SUMIF($B$2:$B$31,"Semana 4",$D$2:$D$31)</f>
        <v>101.74</v>
      </c>
      <c r="D38" s="75" t="n">
        <f aca="false">B38-C38</f>
        <v>28.26</v>
      </c>
      <c r="E38" s="76" t="n">
        <f aca="false">C38/B38</f>
        <v>0.782615384615385</v>
      </c>
      <c r="F38" s="77" t="str">
        <f aca="false">IF(C38&gt;B38,"🔴 SUPERADO","🟢 OK")</f>
        <v>🟢 OK</v>
      </c>
      <c r="H38" s="60" t="s">
        <v>62</v>
      </c>
    </row>
    <row r="39" customFormat="false" ht="15.75" hidden="false" customHeight="false" outlineLevel="0" collapsed="false">
      <c r="A39" s="74" t="s">
        <v>99</v>
      </c>
      <c r="B39" s="75" t="n">
        <f aca="false">SUM(B35:B38)</f>
        <v>520</v>
      </c>
      <c r="C39" s="75" t="n">
        <f aca="false">SUM(C35:C38)</f>
        <v>539.09</v>
      </c>
      <c r="D39" s="75" t="n">
        <f aca="false">B39-C39</f>
        <v>-19.09</v>
      </c>
      <c r="E39" s="76" t="n">
        <f aca="false">C39/B39</f>
        <v>1.03671153846154</v>
      </c>
      <c r="F39" s="77" t="str">
        <f aca="false">IF(C39&gt;B39,"🔴 SUPERADO","✅ AHORRO")</f>
        <v>🔴 SUPERADO</v>
      </c>
    </row>
    <row r="41" customFormat="false" ht="15.75" hidden="false" customHeight="false" outlineLevel="0" collapsed="false">
      <c r="A41" s="72" t="s">
        <v>100</v>
      </c>
      <c r="B41" s="3" t="s">
        <v>101</v>
      </c>
    </row>
    <row r="42" customFormat="false" ht="15.75" hidden="false" customHeight="false" outlineLevel="0" collapsed="false">
      <c r="A42" s="78" t="s">
        <v>102</v>
      </c>
      <c r="B42" s="54" t="n">
        <f aca="false">SUM(D2:D31)</f>
        <v>539.09</v>
      </c>
    </row>
    <row r="43" customFormat="false" ht="15.75" hidden="false" customHeight="false" outlineLevel="0" collapsed="false">
      <c r="A43" s="78" t="s">
        <v>103</v>
      </c>
      <c r="B43" s="54" t="n">
        <f aca="false">SUM(B35:B38)</f>
        <v>520</v>
      </c>
    </row>
    <row r="44" customFormat="false" ht="15.75" hidden="false" customHeight="false" outlineLevel="0" collapsed="false">
      <c r="A44" s="78" t="s">
        <v>104</v>
      </c>
      <c r="B44" s="54" t="n">
        <f aca="false">+B43-B42</f>
        <v>-19.09</v>
      </c>
    </row>
    <row r="45" customFormat="false" ht="15.75" hidden="false" customHeight="false" outlineLevel="0" collapsed="false">
      <c r="A45" s="78" t="s">
        <v>105</v>
      </c>
      <c r="B45" s="79" t="n">
        <f aca="false">B44/B43</f>
        <v>-0.0367115384615385</v>
      </c>
    </row>
    <row r="46" customFormat="false" ht="15.75" hidden="false" customHeight="false" outlineLevel="0" collapsed="false">
      <c r="A46" s="78" t="s">
        <v>106</v>
      </c>
      <c r="B46" s="79" t="n">
        <f aca="false">1-B45</f>
        <v>1.03671153846154</v>
      </c>
    </row>
    <row r="47" customFormat="false" ht="15.75" hidden="false" customHeight="false" outlineLevel="0" collapsed="false">
      <c r="A47" s="78" t="s">
        <v>107</v>
      </c>
      <c r="B47" s="51" t="str">
        <f aca="false">INDEX(A35:A38,MATCH(MIN(C35:C38),C35:C38,0))</f>
        <v>Semana 4</v>
      </c>
    </row>
    <row r="48" customFormat="false" ht="15.75" hidden="false" customHeight="false" outlineLevel="0" collapsed="false">
      <c r="A48" s="78" t="s">
        <v>108</v>
      </c>
      <c r="B48" s="51" t="str">
        <f aca="false">INDEX(A35:A38,MATCH(MAX(C35:C38),C35:C38,0))</f>
        <v>Semana 1</v>
      </c>
    </row>
    <row r="49" customFormat="false" ht="23.25" hidden="false" customHeight="true" outlineLevel="0" collapsed="false">
      <c r="A49" s="80" t="s">
        <v>109</v>
      </c>
      <c r="B49" s="81" t="n">
        <f aca="false">AVERAGE(C35:C38)</f>
        <v>134.7725</v>
      </c>
    </row>
  </sheetData>
  <autoFilter ref="A1:F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38.63"/>
    <col collapsed="false" customWidth="true" hidden="false" outlineLevel="0" max="3" min="3" style="0" width="43.87"/>
    <col collapsed="false" customWidth="true" hidden="false" outlineLevel="0" max="4" min="4" style="0" width="33.75"/>
    <col collapsed="false" customWidth="true" hidden="false" outlineLevel="0" max="5" min="5" style="0" width="34.37"/>
    <col collapsed="false" customWidth="true" hidden="false" outlineLevel="0" max="6" min="6" style="0" width="15.37"/>
  </cols>
  <sheetData>
    <row r="1" customFormat="false" ht="15.75" hidden="false" customHeight="false" outlineLevel="0" collapsed="false">
      <c r="A1" s="82" t="s">
        <v>31</v>
      </c>
      <c r="B1" s="82" t="s">
        <v>32</v>
      </c>
      <c r="C1" s="82" t="s">
        <v>33</v>
      </c>
      <c r="D1" s="82" t="s">
        <v>34</v>
      </c>
      <c r="E1" s="82" t="s">
        <v>110</v>
      </c>
      <c r="F1" s="82" t="s">
        <v>111</v>
      </c>
    </row>
    <row r="2" customFormat="false" ht="15.75" hidden="false" customHeight="false" outlineLevel="0" collapsed="false">
      <c r="A2" s="83" t="n">
        <v>46251</v>
      </c>
      <c r="B2" s="84" t="s">
        <v>76</v>
      </c>
      <c r="C2" s="84" t="s">
        <v>112</v>
      </c>
      <c r="D2" s="85" t="n">
        <v>15.99</v>
      </c>
      <c r="E2" s="84" t="s">
        <v>113</v>
      </c>
      <c r="F2" s="84" t="s">
        <v>114</v>
      </c>
    </row>
    <row r="3" customFormat="false" ht="15.75" hidden="false" customHeight="false" outlineLevel="0" collapsed="false">
      <c r="A3" s="83" t="n">
        <v>46253</v>
      </c>
      <c r="B3" s="84" t="s">
        <v>76</v>
      </c>
      <c r="C3" s="84" t="s">
        <v>115</v>
      </c>
      <c r="D3" s="85" t="n">
        <v>5</v>
      </c>
      <c r="E3" s="84" t="s">
        <v>113</v>
      </c>
      <c r="F3" s="84" t="s">
        <v>114</v>
      </c>
    </row>
    <row r="4" customFormat="false" ht="15.75" hidden="false" customHeight="false" outlineLevel="0" collapsed="false">
      <c r="A4" s="83" t="n">
        <v>46253</v>
      </c>
      <c r="B4" s="84" t="s">
        <v>41</v>
      </c>
      <c r="C4" s="84" t="s">
        <v>116</v>
      </c>
      <c r="D4" s="85" t="n">
        <v>5.5</v>
      </c>
      <c r="E4" s="84" t="s">
        <v>113</v>
      </c>
      <c r="F4" s="84" t="s">
        <v>114</v>
      </c>
    </row>
    <row r="5" customFormat="false" ht="15.75" hidden="false" customHeight="false" outlineLevel="0" collapsed="false">
      <c r="A5" s="83" t="n">
        <v>46254</v>
      </c>
      <c r="B5" s="84" t="s">
        <v>41</v>
      </c>
      <c r="C5" s="84" t="s">
        <v>117</v>
      </c>
      <c r="D5" s="85" t="n">
        <v>28.98</v>
      </c>
      <c r="E5" s="84" t="s">
        <v>113</v>
      </c>
      <c r="F5" s="84" t="s">
        <v>114</v>
      </c>
    </row>
    <row r="6" customFormat="false" ht="15.75" hidden="false" customHeight="false" outlineLevel="0" collapsed="false">
      <c r="C6" s="86" t="s">
        <v>118</v>
      </c>
      <c r="D6" s="87" t="n">
        <f aca="false">SUM(D2:D5)</f>
        <v>55.47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36.12"/>
    <col collapsed="false" customWidth="true" hidden="false" outlineLevel="0" max="2" min="2" style="0" width="18.37"/>
    <col collapsed="false" customWidth="true" hidden="false" outlineLevel="0" max="3" min="3" style="0" width="38.37"/>
    <col collapsed="false" customWidth="true" hidden="false" outlineLevel="0" max="4" min="4" style="0" width="26.63"/>
    <col collapsed="false" customWidth="true" hidden="false" outlineLevel="0" max="5" min="5" style="0" width="30.63"/>
    <col collapsed="false" customWidth="true" hidden="false" outlineLevel="0" max="6" min="6" style="0" width="26.25"/>
  </cols>
  <sheetData>
    <row r="1" customFormat="false" ht="15.75" hidden="false" customHeight="false" outlineLevel="0" collapsed="false">
      <c r="A1" s="82" t="s">
        <v>31</v>
      </c>
      <c r="B1" s="82" t="s">
        <v>32</v>
      </c>
      <c r="C1" s="82" t="s">
        <v>33</v>
      </c>
      <c r="D1" s="82" t="s">
        <v>34</v>
      </c>
      <c r="E1" s="82" t="s">
        <v>36</v>
      </c>
      <c r="F1" s="82" t="s">
        <v>111</v>
      </c>
    </row>
    <row r="2" customFormat="false" ht="15.75" hidden="false" customHeight="false" outlineLevel="0" collapsed="false">
      <c r="A2" s="83" t="n">
        <v>46240</v>
      </c>
      <c r="B2" s="84" t="s">
        <v>58</v>
      </c>
      <c r="C2" s="84" t="s">
        <v>119</v>
      </c>
      <c r="D2" s="85" t="n">
        <v>437</v>
      </c>
      <c r="E2" s="84" t="s">
        <v>120</v>
      </c>
      <c r="F2" s="84" t="s">
        <v>121</v>
      </c>
    </row>
    <row r="3" customFormat="false" ht="15.75" hidden="false" customHeight="false" outlineLevel="0" collapsed="false">
      <c r="A3" s="83" t="n">
        <v>46247</v>
      </c>
      <c r="B3" s="84" t="s">
        <v>37</v>
      </c>
      <c r="C3" s="84" t="s">
        <v>122</v>
      </c>
      <c r="D3" s="85" t="n">
        <v>437</v>
      </c>
      <c r="E3" s="84" t="s">
        <v>120</v>
      </c>
      <c r="F3" s="84" t="s">
        <v>121</v>
      </c>
    </row>
    <row r="4" customFormat="false" ht="15.75" hidden="false" customHeight="false" outlineLevel="0" collapsed="false">
      <c r="A4" s="83" t="n">
        <v>46261</v>
      </c>
      <c r="B4" s="84" t="s">
        <v>41</v>
      </c>
      <c r="C4" s="84" t="s">
        <v>123</v>
      </c>
      <c r="D4" s="85" t="n">
        <v>-437</v>
      </c>
      <c r="E4" s="84" t="s">
        <v>124</v>
      </c>
      <c r="F4" s="84" t="s">
        <v>121</v>
      </c>
    </row>
    <row r="5" customFormat="false" ht="15.75" hidden="false" customHeight="false" outlineLevel="0" collapsed="false">
      <c r="A5" s="83" t="n">
        <v>46265</v>
      </c>
      <c r="B5" s="84" t="s">
        <v>41</v>
      </c>
      <c r="C5" s="84" t="s">
        <v>125</v>
      </c>
      <c r="D5" s="85" t="n">
        <v>-437</v>
      </c>
      <c r="E5" s="84" t="s">
        <v>124</v>
      </c>
      <c r="F5" s="84" t="s">
        <v>121</v>
      </c>
    </row>
    <row r="6" customFormat="false" ht="15.75" hidden="false" customHeight="false" outlineLevel="0" collapsed="false">
      <c r="A6" s="88"/>
      <c r="C6" s="89" t="s">
        <v>126</v>
      </c>
      <c r="D6" s="90" t="n">
        <f aca="false">SUM(D2:D3)</f>
        <v>874</v>
      </c>
      <c r="E6" s="91"/>
    </row>
    <row r="7" customFormat="false" ht="15.75" hidden="false" customHeight="false" outlineLevel="0" collapsed="false">
      <c r="A7" s="92" t="s">
        <v>94</v>
      </c>
      <c r="B7" s="3" t="s">
        <v>127</v>
      </c>
      <c r="C7" s="3" t="s">
        <v>128</v>
      </c>
      <c r="D7" s="3" t="s">
        <v>129</v>
      </c>
      <c r="E7" s="93" t="s">
        <v>130</v>
      </c>
      <c r="F7" s="3" t="s">
        <v>131</v>
      </c>
    </row>
    <row r="8" customFormat="false" ht="15.75" hidden="false" customHeight="false" outlineLevel="0" collapsed="false">
      <c r="A8" s="94" t="s">
        <v>58</v>
      </c>
      <c r="B8" s="95" t="n">
        <f aca="false">SUMIF($B$2:$B$5,"Semana 1",$D$2:$D$5)</f>
        <v>437</v>
      </c>
      <c r="C8" s="95" t="n">
        <f aca="false">SUMIFS($D$2:$D$5,$B$2:$B$5,"Semana 1",$E$2:$E$5,"Préstamo Temporal")</f>
        <v>437</v>
      </c>
      <c r="D8" s="96" t="n">
        <f aca="false">SUMIFS($D$2:$D$5,$B$2:$B$5,"Semana 1",$E$2:$E$5,"Gasto Real")</f>
        <v>0</v>
      </c>
      <c r="E8" s="96" t="n">
        <f aca="false">SUMIFS($D$2:$D$5,$B$2:$B$5,"Semana 1",$E$2:$E$5,"Reintegro")</f>
        <v>0</v>
      </c>
      <c r="F8" s="97" t="n">
        <f aca="false">B8-C8+D8</f>
        <v>0</v>
      </c>
    </row>
    <row r="9" customFormat="false" ht="15.75" hidden="false" customHeight="false" outlineLevel="0" collapsed="false">
      <c r="A9" s="94" t="s">
        <v>37</v>
      </c>
      <c r="B9" s="95" t="n">
        <f aca="false">SUMIF($B$2:$B$5,"Semana 2",$D$2:$D$5)</f>
        <v>437</v>
      </c>
      <c r="C9" s="95" t="n">
        <f aca="false">SUMIFS($D$2:$D$5,$B$2:$B$5,"Semana 2",$E$2:$E$5,"Préstamo Temporal")</f>
        <v>437</v>
      </c>
      <c r="D9" s="96" t="n">
        <f aca="false">SUMIFS($D$2:$D$5,$B$2:$B$5,"Semana 2",$E$2:$E$5,"Gasto Real")</f>
        <v>0</v>
      </c>
      <c r="E9" s="96" t="n">
        <f aca="false">SUMIFS($D$2:$D$5,$B$2:$B$5,"Semana 2",$E$2:$E$5,"Reintegro")</f>
        <v>0</v>
      </c>
      <c r="F9" s="97" t="n">
        <f aca="false">B9-C9+D9</f>
        <v>0</v>
      </c>
    </row>
    <row r="10" customFormat="false" ht="15.75" hidden="false" customHeight="false" outlineLevel="0" collapsed="false">
      <c r="A10" s="94" t="s">
        <v>76</v>
      </c>
      <c r="B10" s="95" t="n">
        <f aca="false">SUMIF($B$2:$B$5,"Semana 3",$D$2:$D$5)</f>
        <v>0</v>
      </c>
      <c r="C10" s="95" t="n">
        <f aca="false">SUMIFS($D$2:$D$5,$B$2:$B$5,"Semana 3",$E$2:$E$5,"Préstamo Temporal")</f>
        <v>0</v>
      </c>
      <c r="D10" s="96" t="n">
        <f aca="false">SUMIFS($D$2:$D$5,$B$2:$B$5,"Semana 3",$E$2:$E$5,"Gasto Real")</f>
        <v>0</v>
      </c>
      <c r="E10" s="96" t="n">
        <f aca="false">SUMIFS($D$2:$D$5,$B$2:$B$5,"Semana 3",$E$2:$E$5,"Reintegro")</f>
        <v>0</v>
      </c>
      <c r="F10" s="98" t="n">
        <f aca="false">B10-C10+D10</f>
        <v>0</v>
      </c>
    </row>
    <row r="11" customFormat="false" ht="15.75" hidden="false" customHeight="false" outlineLevel="0" collapsed="false">
      <c r="A11" s="94" t="s">
        <v>41</v>
      </c>
      <c r="B11" s="95" t="n">
        <f aca="false">SUMIF($B$2:$B$5,"Semana 4",$D$2:$D$5)</f>
        <v>-874</v>
      </c>
      <c r="C11" s="95" t="n">
        <f aca="false">SUMIFS($D$2:$D$5,$B$2:$B$5,"Semana 4",$E$2:$E$5,"Préstamo Temporal")</f>
        <v>0</v>
      </c>
      <c r="D11" s="96" t="n">
        <f aca="false">SUMIFS($D$2:$D$5,$B$2:$B$5,"Semana 4",$E$2:$E$5,"Gasto Real")</f>
        <v>0</v>
      </c>
      <c r="E11" s="96" t="n">
        <f aca="false">SUMIFS($D$2:$D$5,$B$2:$B$5,"Semana 4",$E$2:$E$5,"Reintegro")</f>
        <v>-874</v>
      </c>
      <c r="F11" s="97" t="n">
        <f aca="false">B11-C11+D11</f>
        <v>-874</v>
      </c>
    </row>
    <row r="12" customFormat="false" ht="15.75" hidden="false" customHeight="false" outlineLevel="0" collapsed="false">
      <c r="A12" s="99" t="s">
        <v>99</v>
      </c>
      <c r="B12" s="95" t="n">
        <f aca="false">SUM(B8:B11)</f>
        <v>0</v>
      </c>
      <c r="C12" s="95" t="n">
        <f aca="false">SUM(C8:C11)</f>
        <v>874</v>
      </c>
      <c r="D12" s="96" t="n">
        <f aca="false">SUM(D8:D11)</f>
        <v>0</v>
      </c>
      <c r="E12" s="96" t="n">
        <f aca="false">SUM(E8:E11)</f>
        <v>-874</v>
      </c>
      <c r="F12" s="97" t="n">
        <f aca="false">B12-C12+D12</f>
        <v>-874</v>
      </c>
    </row>
    <row r="13" customFormat="false" ht="15.75" hidden="false" customHeight="false" outlineLevel="0" collapsed="false">
      <c r="B13" s="100"/>
    </row>
    <row r="14" customFormat="false" ht="15.75" hidden="false" customHeight="false" outlineLevel="0" collapsed="false">
      <c r="A14" s="3" t="s">
        <v>132</v>
      </c>
      <c r="B14" s="101" t="s">
        <v>133</v>
      </c>
      <c r="C14" s="3" t="s">
        <v>134</v>
      </c>
    </row>
    <row r="15" customFormat="false" ht="15.75" hidden="false" customHeight="false" outlineLevel="0" collapsed="false">
      <c r="A15" s="102" t="s">
        <v>135</v>
      </c>
      <c r="B15" s="103" t="n">
        <f aca="false">SUMIF($F$2:$F$5,"Gasolina",$D$2:$D$5)</f>
        <v>0</v>
      </c>
      <c r="C15" s="102" t="s">
        <v>136</v>
      </c>
    </row>
    <row r="16" customFormat="false" ht="15.75" hidden="false" customHeight="false" outlineLevel="0" collapsed="false">
      <c r="A16" s="102" t="s">
        <v>137</v>
      </c>
      <c r="B16" s="103" t="n">
        <f aca="false">SUMIF($F$2:$F$5,"Restaurante",$D$2:$D$5)</f>
        <v>0</v>
      </c>
      <c r="C16" s="102" t="s">
        <v>138</v>
      </c>
    </row>
    <row r="17" customFormat="false" ht="15.75" hidden="false" customHeight="false" outlineLevel="0" collapsed="false">
      <c r="A17" s="102" t="s">
        <v>139</v>
      </c>
      <c r="B17" s="103" t="n">
        <f aca="false">D15+D16</f>
        <v>0</v>
      </c>
      <c r="C17" s="102" t="s">
        <v>140</v>
      </c>
    </row>
    <row r="18" customFormat="false" ht="15.75" hidden="false" customHeight="false" outlineLevel="0" collapsed="false">
      <c r="A18" s="102" t="s">
        <v>141</v>
      </c>
      <c r="B18" s="103" t="n">
        <f aca="false">SUMIF($E$2:$E$5,"Préstamo Temporal",$D$2:$D$5)</f>
        <v>874</v>
      </c>
      <c r="C18" s="102" t="s">
        <v>142</v>
      </c>
    </row>
    <row r="19" customFormat="false" ht="15.75" hidden="false" customHeight="false" outlineLevel="0" collapsed="false">
      <c r="A19" s="102" t="s">
        <v>143</v>
      </c>
      <c r="B19" s="103" t="n">
        <f aca="false">SUMIF($E$2:$E$5,"Reintegro",$D$2:$D$5)</f>
        <v>-874</v>
      </c>
      <c r="C19" s="102" t="s">
        <v>144</v>
      </c>
    </row>
    <row r="20" customFormat="false" ht="15.75" hidden="false" customHeight="false" outlineLevel="0" collapsed="false">
      <c r="A20" s="102" t="s">
        <v>145</v>
      </c>
      <c r="B20" s="102" t="n">
        <f aca="false">D18+D19</f>
        <v>0</v>
      </c>
      <c r="C20" s="102" t="s">
        <v>146</v>
      </c>
    </row>
    <row r="21" customFormat="false" ht="15.75" hidden="false" customHeight="false" outlineLevel="0" collapsed="false">
      <c r="A21" s="102" t="s">
        <v>147</v>
      </c>
      <c r="B21" s="102" t="n">
        <f aca="false">D17</f>
        <v>0</v>
      </c>
      <c r="C21" s="102" t="s">
        <v>148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31.87"/>
    <col collapsed="false" customWidth="true" hidden="false" outlineLevel="0" max="2" min="2" style="0" width="40.37"/>
    <col collapsed="false" customWidth="true" hidden="false" outlineLevel="0" max="3" min="3" style="0" width="35.25"/>
    <col collapsed="false" customWidth="true" hidden="false" outlineLevel="0" max="4" min="4" style="0" width="12.37"/>
  </cols>
  <sheetData>
    <row r="1" customFormat="false" ht="15.75" hidden="false" customHeight="false" outlineLevel="0" collapsed="false">
      <c r="A1" s="46" t="s">
        <v>31</v>
      </c>
      <c r="B1" s="46" t="s">
        <v>33</v>
      </c>
      <c r="C1" s="46" t="s">
        <v>34</v>
      </c>
      <c r="D1" s="46" t="s">
        <v>35</v>
      </c>
      <c r="E1" s="46" t="s">
        <v>36</v>
      </c>
    </row>
    <row r="2" customFormat="false" ht="15.75" hidden="false" customHeight="false" outlineLevel="0" collapsed="false">
      <c r="A2" s="104" t="n">
        <v>46240</v>
      </c>
      <c r="B2" s="20" t="s">
        <v>149</v>
      </c>
      <c r="C2" s="105" t="n">
        <v>15.9</v>
      </c>
      <c r="D2" s="20" t="s">
        <v>39</v>
      </c>
      <c r="E2" s="20" t="s">
        <v>150</v>
      </c>
    </row>
    <row r="3" customFormat="false" ht="15.75" hidden="false" customHeight="false" outlineLevel="0" collapsed="false">
      <c r="A3" s="104" t="n">
        <v>46247</v>
      </c>
      <c r="B3" s="20" t="s">
        <v>151</v>
      </c>
      <c r="C3" s="105" t="n">
        <v>3.95</v>
      </c>
      <c r="D3" s="20" t="s">
        <v>39</v>
      </c>
      <c r="E3" s="20" t="s">
        <v>150</v>
      </c>
    </row>
    <row r="4" customFormat="false" ht="15.75" hidden="false" customHeight="false" outlineLevel="0" collapsed="false">
      <c r="C4" s="106" t="n">
        <f aca="false">SUM(C2:C3)</f>
        <v>19.85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17.5"/>
    <col collapsed="false" customWidth="true" hidden="false" outlineLevel="0" max="2" min="2" style="0" width="47.75"/>
    <col collapsed="false" customWidth="true" hidden="false" outlineLevel="0" max="3" min="3" style="0" width="29.63"/>
    <col collapsed="false" customWidth="true" hidden="false" outlineLevel="0" max="4" min="4" style="0" width="14.63"/>
    <col collapsed="false" customWidth="true" hidden="false" outlineLevel="0" max="5" min="5" style="0" width="19"/>
    <col collapsed="false" customWidth="true" hidden="false" outlineLevel="0" max="6" min="6" style="17" width="11"/>
    <col collapsed="false" customWidth="true" hidden="false" outlineLevel="0" max="7" min="7" style="17" width="17.75"/>
    <col collapsed="false" customWidth="true" hidden="false" outlineLevel="0" max="8" min="8" style="0" width="17.25"/>
    <col collapsed="false" customWidth="true" hidden="false" outlineLevel="0" max="9" min="9" style="0" width="68"/>
    <col collapsed="false" customWidth="true" hidden="false" outlineLevel="0" max="10" min="10" style="0" width="11"/>
  </cols>
  <sheetData>
    <row r="1" customFormat="false" ht="15.75" hidden="false" customHeight="false" outlineLevel="0" collapsed="false">
      <c r="A1" s="107" t="s">
        <v>32</v>
      </c>
      <c r="B1" s="107" t="s">
        <v>31</v>
      </c>
      <c r="C1" s="107" t="s">
        <v>33</v>
      </c>
      <c r="D1" s="107" t="s">
        <v>34</v>
      </c>
      <c r="E1" s="107" t="s">
        <v>152</v>
      </c>
      <c r="F1" s="107" t="s">
        <v>36</v>
      </c>
    </row>
    <row r="2" customFormat="false" ht="15.75" hidden="false" customHeight="false" outlineLevel="0" collapsed="false">
      <c r="A2" s="20" t="s">
        <v>58</v>
      </c>
      <c r="B2" s="104" t="n">
        <v>46237</v>
      </c>
      <c r="C2" s="20" t="s">
        <v>153</v>
      </c>
      <c r="D2" s="105" t="n">
        <v>60</v>
      </c>
      <c r="E2" s="20" t="s">
        <v>39</v>
      </c>
      <c r="F2" s="20" t="s">
        <v>154</v>
      </c>
    </row>
    <row r="3" customFormat="false" ht="15.75" hidden="false" customHeight="false" outlineLevel="0" collapsed="false">
      <c r="A3" s="20" t="s">
        <v>58</v>
      </c>
      <c r="B3" s="104" t="n">
        <v>46242</v>
      </c>
      <c r="C3" s="20" t="s">
        <v>155</v>
      </c>
      <c r="D3" s="105" t="n">
        <v>59.85</v>
      </c>
      <c r="E3" s="20" t="s">
        <v>65</v>
      </c>
      <c r="F3" s="20" t="s">
        <v>154</v>
      </c>
    </row>
    <row r="4" customFormat="false" ht="15.75" hidden="false" customHeight="false" outlineLevel="0" collapsed="false">
      <c r="A4" s="20" t="s">
        <v>58</v>
      </c>
      <c r="B4" s="104" t="n">
        <v>46242</v>
      </c>
      <c r="C4" s="20" t="s">
        <v>156</v>
      </c>
      <c r="D4" s="105" t="n">
        <v>3.2</v>
      </c>
      <c r="E4" s="20" t="s">
        <v>39</v>
      </c>
      <c r="F4" s="20" t="s">
        <v>157</v>
      </c>
    </row>
    <row r="5" customFormat="false" ht="15.75" hidden="false" customHeight="false" outlineLevel="0" collapsed="false">
      <c r="A5" s="20" t="s">
        <v>37</v>
      </c>
      <c r="B5" s="104" t="n">
        <v>46248</v>
      </c>
      <c r="C5" s="20" t="s">
        <v>158</v>
      </c>
      <c r="D5" s="105" t="n">
        <v>50</v>
      </c>
      <c r="E5" s="20" t="s">
        <v>39</v>
      </c>
      <c r="F5" s="20" t="s">
        <v>154</v>
      </c>
    </row>
    <row r="6" customFormat="false" ht="15.75" hidden="false" customHeight="false" outlineLevel="0" collapsed="false">
      <c r="A6" s="20" t="s">
        <v>76</v>
      </c>
      <c r="B6" s="104" t="s">
        <v>81</v>
      </c>
      <c r="C6" s="20" t="s">
        <v>159</v>
      </c>
      <c r="D6" s="105" t="n">
        <v>50</v>
      </c>
      <c r="E6" s="20" t="s">
        <v>65</v>
      </c>
      <c r="F6" s="20" t="s">
        <v>154</v>
      </c>
    </row>
    <row r="7" customFormat="false" ht="15.75" hidden="false" customHeight="false" outlineLevel="0" collapsed="false">
      <c r="A7" s="20" t="s">
        <v>76</v>
      </c>
      <c r="B7" s="20" t="s">
        <v>84</v>
      </c>
      <c r="C7" s="20" t="s">
        <v>160</v>
      </c>
      <c r="D7" s="105" t="n">
        <v>50</v>
      </c>
      <c r="E7" s="20" t="s">
        <v>39</v>
      </c>
      <c r="F7" s="20" t="s">
        <v>154</v>
      </c>
    </row>
    <row r="8" customFormat="false" ht="15.75" hidden="false" customHeight="false" outlineLevel="0" collapsed="false">
      <c r="A8" s="20" t="s">
        <v>41</v>
      </c>
      <c r="B8" s="20" t="s">
        <v>88</v>
      </c>
      <c r="C8" s="20" t="s">
        <v>161</v>
      </c>
      <c r="D8" s="105" t="n">
        <v>7.2</v>
      </c>
      <c r="E8" s="20" t="s">
        <v>65</v>
      </c>
      <c r="F8" s="20" t="s">
        <v>157</v>
      </c>
    </row>
    <row r="9" customFormat="false" ht="15.75" hidden="false" customHeight="false" outlineLevel="0" collapsed="false">
      <c r="A9" s="20" t="s">
        <v>41</v>
      </c>
      <c r="B9" s="20" t="s">
        <v>90</v>
      </c>
      <c r="C9" s="20" t="s">
        <v>162</v>
      </c>
      <c r="D9" s="105" t="n">
        <v>3.7</v>
      </c>
      <c r="E9" s="20" t="s">
        <v>39</v>
      </c>
      <c r="F9" s="20" t="s">
        <v>157</v>
      </c>
    </row>
    <row r="10" customFormat="false" ht="15.75" hidden="false" customHeight="false" outlineLevel="0" collapsed="false">
      <c r="A10" s="20" t="s">
        <v>41</v>
      </c>
      <c r="B10" s="20" t="s">
        <v>90</v>
      </c>
      <c r="C10" s="20" t="s">
        <v>163</v>
      </c>
      <c r="D10" s="105" t="n">
        <v>5.103</v>
      </c>
      <c r="E10" s="20" t="s">
        <v>39</v>
      </c>
      <c r="F10" s="20" t="s">
        <v>157</v>
      </c>
    </row>
    <row r="11" customFormat="false" ht="15" hidden="false" customHeight="true" outlineLevel="0" collapsed="false">
      <c r="A11" s="108"/>
      <c r="C11" s="109" t="s">
        <v>164</v>
      </c>
      <c r="D11" s="8" t="n">
        <f aca="false">SUM(D2:D10)</f>
        <v>289.053</v>
      </c>
    </row>
    <row r="12" customFormat="false" ht="15.75" hidden="false" customHeight="false" outlineLevel="0" collapsed="false">
      <c r="A12" s="107" t="s">
        <v>165</v>
      </c>
      <c r="B12" s="107" t="s">
        <v>166</v>
      </c>
      <c r="C12" s="107" t="s">
        <v>167</v>
      </c>
      <c r="D12" s="107" t="s">
        <v>96</v>
      </c>
      <c r="E12" s="107" t="s">
        <v>98</v>
      </c>
    </row>
    <row r="13" customFormat="false" ht="15.75" hidden="false" customHeight="false" outlineLevel="0" collapsed="false">
      <c r="A13" s="20" t="s">
        <v>58</v>
      </c>
      <c r="B13" s="105" t="n">
        <v>50</v>
      </c>
      <c r="C13" s="105" t="n">
        <f aca="false">SUMIF(A2:A10,"Semana 1",$D$2:$D$10)</f>
        <v>123.05</v>
      </c>
      <c r="D13" s="105" t="n">
        <f aca="false">B13-C13</f>
        <v>-73.05</v>
      </c>
      <c r="E13" s="20" t="str">
        <f aca="false">IF(C13&gt;B13," SUPERADO","🟢 OK")</f>
        <v> SUPERADO</v>
      </c>
    </row>
    <row r="14" customFormat="false" ht="15.75" hidden="false" customHeight="false" outlineLevel="0" collapsed="false">
      <c r="A14" s="20" t="s">
        <v>37</v>
      </c>
      <c r="B14" s="105" t="n">
        <v>50</v>
      </c>
      <c r="C14" s="105" t="n">
        <f aca="false">SUMIF(A2:A10,"Semana 2",$D$2:$D$10)</f>
        <v>50</v>
      </c>
      <c r="D14" s="105" t="n">
        <f aca="false">B14-C14</f>
        <v>0</v>
      </c>
      <c r="E14" s="20" t="str">
        <f aca="false">IF(C14&gt;B14,"🔴 SUPERADO","🟢 OK")</f>
        <v>🟢 OK</v>
      </c>
    </row>
    <row r="15" customFormat="false" ht="15.75" hidden="false" customHeight="false" outlineLevel="0" collapsed="false">
      <c r="A15" s="20" t="s">
        <v>76</v>
      </c>
      <c r="B15" s="105" t="n">
        <v>50</v>
      </c>
      <c r="C15" s="105" t="n">
        <f aca="false">SUMIF(A2:A10,"Semana 3",$D$2:$D$10)</f>
        <v>100</v>
      </c>
      <c r="D15" s="105" t="n">
        <f aca="false">B15-C15</f>
        <v>-50</v>
      </c>
      <c r="E15" s="20" t="str">
        <f aca="false">IF(C15&gt;B15,"🔴 SUPERADO","🟢 OK")</f>
        <v>🔴 SUPERADO</v>
      </c>
    </row>
    <row r="16" customFormat="false" ht="15.75" hidden="false" customHeight="false" outlineLevel="0" collapsed="false">
      <c r="A16" s="20" t="s">
        <v>41</v>
      </c>
      <c r="B16" s="105" t="n">
        <v>50</v>
      </c>
      <c r="C16" s="105" t="n">
        <f aca="false">SUMIF(A2:A10,"Semana 4",$D$2:$D$10)</f>
        <v>16.003</v>
      </c>
      <c r="D16" s="105" t="n">
        <f aca="false">B16-C16</f>
        <v>33.997</v>
      </c>
      <c r="E16" s="20" t="str">
        <f aca="false">IF(C16&gt;B16,"🔴 SUPERADO","🟢 OK")</f>
        <v>🟢 OK</v>
      </c>
    </row>
    <row r="17" customFormat="false" ht="15.75" hidden="false" customHeight="false" outlineLevel="0" collapsed="false">
      <c r="A17" s="20" t="s">
        <v>99</v>
      </c>
      <c r="B17" s="105" t="n">
        <f aca="false">SUM(B13:B16)</f>
        <v>200</v>
      </c>
      <c r="C17" s="105" t="n">
        <f aca="false">SUM(C13:C16)</f>
        <v>289.053</v>
      </c>
      <c r="D17" s="105" t="n">
        <f aca="false">B17-C17</f>
        <v>-89.053</v>
      </c>
      <c r="E17" s="20" t="str">
        <f aca="false">IF(C17&gt;B17,"🔴 SUPERADO","✅ AHORRO")</f>
        <v>🔴 SUPERADO</v>
      </c>
    </row>
    <row r="28" customFormat="false" ht="15.75" hidden="false" customHeight="false" outlineLevel="0" collapsed="false">
      <c r="A28" s="88"/>
    </row>
    <row r="29" customFormat="false" ht="15.75" hidden="false" customHeight="false" outlineLevel="0" collapsed="false">
      <c r="A29" s="88"/>
    </row>
    <row r="30" customFormat="false" ht="15.75" hidden="false" customHeight="false" outlineLevel="0" collapsed="false">
      <c r="A30" s="88"/>
    </row>
    <row r="31" customFormat="false" ht="15.75" hidden="false" customHeight="false" outlineLevel="0" collapsed="false">
      <c r="A31" s="8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18.5"/>
    <col collapsed="false" customWidth="true" hidden="false" outlineLevel="0" max="2" min="2" style="0" width="21.51"/>
    <col collapsed="false" customWidth="true" hidden="false" outlineLevel="0" max="3" min="3" style="0" width="28.88"/>
    <col collapsed="false" customWidth="true" hidden="false" outlineLevel="0" max="5" min="5" style="0" width="20.5"/>
    <col collapsed="false" customWidth="true" hidden="false" outlineLevel="0" max="7" min="6" style="0" width="12"/>
  </cols>
  <sheetData>
    <row r="1" customFormat="false" ht="15.75" hidden="false" customHeight="false" outlineLevel="0" collapsed="false">
      <c r="A1" s="82" t="s">
        <v>31</v>
      </c>
      <c r="B1" s="82" t="s">
        <v>32</v>
      </c>
      <c r="C1" s="82" t="s">
        <v>33</v>
      </c>
      <c r="D1" s="82" t="s">
        <v>34</v>
      </c>
      <c r="E1" s="3" t="s">
        <v>36</v>
      </c>
      <c r="F1" s="82" t="s">
        <v>152</v>
      </c>
      <c r="G1" s="82" t="s">
        <v>56</v>
      </c>
      <c r="H1" s="82" t="s">
        <v>111</v>
      </c>
    </row>
    <row r="2" customFormat="false" ht="15.75" hidden="false" customHeight="false" outlineLevel="0" collapsed="false">
      <c r="A2" s="83" t="n">
        <v>46236</v>
      </c>
      <c r="B2" s="84" t="s">
        <v>58</v>
      </c>
      <c r="C2" s="84" t="s">
        <v>168</v>
      </c>
      <c r="D2" s="85" t="n">
        <v>24</v>
      </c>
      <c r="E2" s="84" t="s">
        <v>169</v>
      </c>
      <c r="F2" s="84" t="s">
        <v>39</v>
      </c>
      <c r="G2" s="84" t="s">
        <v>170</v>
      </c>
      <c r="H2" s="84" t="s">
        <v>171</v>
      </c>
    </row>
    <row r="3" customFormat="false" ht="15.75" hidden="false" customHeight="false" outlineLevel="0" collapsed="false">
      <c r="A3" s="83" t="n">
        <v>46243</v>
      </c>
      <c r="B3" s="84" t="s">
        <v>37</v>
      </c>
      <c r="C3" s="84" t="s">
        <v>168</v>
      </c>
      <c r="D3" s="85" t="n">
        <v>20.5</v>
      </c>
      <c r="E3" s="84" t="s">
        <v>169</v>
      </c>
      <c r="F3" s="84" t="s">
        <v>65</v>
      </c>
      <c r="G3" s="84" t="s">
        <v>170</v>
      </c>
      <c r="H3" s="84" t="s">
        <v>171</v>
      </c>
    </row>
    <row r="4" customFormat="false" ht="15.75" hidden="false" customHeight="false" outlineLevel="0" collapsed="false">
      <c r="A4" s="110" t="s">
        <v>73</v>
      </c>
      <c r="B4" s="111" t="s">
        <v>37</v>
      </c>
      <c r="C4" s="112" t="s">
        <v>168</v>
      </c>
      <c r="D4" s="4" t="n">
        <v>24.5</v>
      </c>
      <c r="E4" s="112" t="s">
        <v>169</v>
      </c>
      <c r="F4" s="112" t="s">
        <v>39</v>
      </c>
      <c r="G4" s="112" t="s">
        <v>170</v>
      </c>
      <c r="H4" s="112" t="s">
        <v>171</v>
      </c>
    </row>
    <row r="5" customFormat="false" ht="16.5" hidden="false" customHeight="true" outlineLevel="0" collapsed="false">
      <c r="A5" s="83" t="s">
        <v>81</v>
      </c>
      <c r="B5" s="84" t="s">
        <v>76</v>
      </c>
      <c r="C5" s="84" t="s">
        <v>172</v>
      </c>
      <c r="D5" s="113" t="n">
        <v>6</v>
      </c>
      <c r="E5" s="84" t="s">
        <v>169</v>
      </c>
      <c r="F5" s="84" t="s">
        <v>39</v>
      </c>
      <c r="G5" s="84" t="s">
        <v>170</v>
      </c>
      <c r="H5" s="84" t="s">
        <v>171</v>
      </c>
    </row>
    <row r="6" customFormat="false" ht="16.5" hidden="false" customHeight="true" outlineLevel="0" collapsed="false">
      <c r="A6" s="83" t="s">
        <v>81</v>
      </c>
      <c r="B6" s="84" t="s">
        <v>76</v>
      </c>
      <c r="C6" s="84" t="s">
        <v>173</v>
      </c>
      <c r="D6" s="113" t="n">
        <v>4.75</v>
      </c>
      <c r="E6" s="84" t="s">
        <v>169</v>
      </c>
      <c r="F6" s="84" t="s">
        <v>39</v>
      </c>
      <c r="G6" s="84" t="s">
        <v>170</v>
      </c>
      <c r="H6" s="84" t="s">
        <v>171</v>
      </c>
    </row>
    <row r="7" customFormat="false" ht="16.5" hidden="false" customHeight="true" outlineLevel="0" collapsed="false">
      <c r="A7" s="83" t="s">
        <v>84</v>
      </c>
      <c r="B7" s="84" t="s">
        <v>76</v>
      </c>
      <c r="C7" s="84" t="s">
        <v>174</v>
      </c>
      <c r="D7" s="113" t="n">
        <v>4</v>
      </c>
      <c r="E7" s="84" t="s">
        <v>169</v>
      </c>
      <c r="F7" s="84" t="s">
        <v>39</v>
      </c>
      <c r="G7" s="84" t="s">
        <v>170</v>
      </c>
      <c r="H7" s="84" t="s">
        <v>171</v>
      </c>
    </row>
    <row r="8" customFormat="false" ht="15.75" hidden="false" customHeight="false" outlineLevel="0" collapsed="false">
      <c r="A8" s="83" t="s">
        <v>88</v>
      </c>
      <c r="B8" s="84" t="s">
        <v>41</v>
      </c>
      <c r="C8" s="84" t="s">
        <v>175</v>
      </c>
      <c r="D8" s="113" t="n">
        <v>5</v>
      </c>
      <c r="E8" s="84" t="s">
        <v>169</v>
      </c>
      <c r="F8" s="84" t="s">
        <v>39</v>
      </c>
      <c r="G8" s="84" t="s">
        <v>170</v>
      </c>
      <c r="H8" s="84" t="s">
        <v>171</v>
      </c>
    </row>
    <row r="9" customFormat="false" ht="15.75" hidden="false" customHeight="false" outlineLevel="0" collapsed="false">
      <c r="A9" s="114"/>
      <c r="B9" s="108"/>
      <c r="C9" s="17"/>
    </row>
    <row r="10" customFormat="false" ht="15.75" hidden="false" customHeight="false" outlineLevel="0" collapsed="false">
      <c r="A10" s="115" t="s">
        <v>165</v>
      </c>
      <c r="B10" s="115" t="s">
        <v>166</v>
      </c>
      <c r="C10" s="115" t="s">
        <v>167</v>
      </c>
      <c r="D10" s="115" t="s">
        <v>96</v>
      </c>
      <c r="E10" s="115" t="s">
        <v>98</v>
      </c>
    </row>
    <row r="11" customFormat="false" ht="15.75" hidden="false" customHeight="false" outlineLevel="0" collapsed="false">
      <c r="A11" s="84" t="s">
        <v>58</v>
      </c>
      <c r="B11" s="85" t="n">
        <v>25</v>
      </c>
      <c r="C11" s="85" t="n">
        <f aca="false">SUMIF($B$2:$B$8,"Semana 1",$D$2:$D$8)</f>
        <v>24</v>
      </c>
      <c r="D11" s="85" t="n">
        <f aca="false">B11-C11</f>
        <v>1</v>
      </c>
      <c r="E11" s="116" t="str">
        <f aca="false">IF(C11&gt;B11," SUPERADO","🟢 OK")</f>
        <v>🟢 OK</v>
      </c>
    </row>
    <row r="12" customFormat="false" ht="15.75" hidden="false" customHeight="false" outlineLevel="0" collapsed="false">
      <c r="A12" s="84" t="s">
        <v>37</v>
      </c>
      <c r="B12" s="85" t="n">
        <v>25</v>
      </c>
      <c r="C12" s="85" t="n">
        <f aca="false">SUMIF($B$2:$B$8,"Semana 2",$D$2:$D$8)</f>
        <v>45</v>
      </c>
      <c r="D12" s="85" t="n">
        <f aca="false">B12-C12</f>
        <v>-20</v>
      </c>
      <c r="E12" s="116" t="str">
        <f aca="false">IF(C12&gt;B12,"🔴 SUPERADO","🟢 OK")</f>
        <v>🔴 SUPERADO</v>
      </c>
    </row>
    <row r="13" customFormat="false" ht="15.75" hidden="false" customHeight="false" outlineLevel="0" collapsed="false">
      <c r="A13" s="84" t="s">
        <v>76</v>
      </c>
      <c r="B13" s="85" t="n">
        <v>25</v>
      </c>
      <c r="C13" s="85" t="n">
        <f aca="false">SUMIF($B$2:$B$8,"Semana 3",$D$2:$D$8)</f>
        <v>14.75</v>
      </c>
      <c r="D13" s="85" t="n">
        <f aca="false">B13-C13</f>
        <v>10.25</v>
      </c>
      <c r="E13" s="116" t="str">
        <f aca="false">IF(C13&gt;B13,"🔴 SUPERADO","🟢 OK")</f>
        <v>🟢 OK</v>
      </c>
    </row>
    <row r="14" customFormat="false" ht="15.75" hidden="false" customHeight="false" outlineLevel="0" collapsed="false">
      <c r="A14" s="84" t="s">
        <v>41</v>
      </c>
      <c r="B14" s="85" t="n">
        <v>25</v>
      </c>
      <c r="C14" s="85" t="n">
        <f aca="false">SUMIF($B$2:$B$8,"Semana 4",$D$2:$D$8)</f>
        <v>5</v>
      </c>
      <c r="D14" s="85" t="n">
        <f aca="false">B14-C14</f>
        <v>20</v>
      </c>
      <c r="E14" s="116" t="str">
        <f aca="false">IF(C14&gt;B14,"🔴 SUPERADO","🟢 OK")</f>
        <v>🟢 OK</v>
      </c>
    </row>
    <row r="15" customFormat="false" ht="15.75" hidden="false" customHeight="false" outlineLevel="0" collapsed="false">
      <c r="A15" s="117" t="s">
        <v>99</v>
      </c>
      <c r="B15" s="118" t="n">
        <f aca="false">SUM(B11:B14)</f>
        <v>100</v>
      </c>
      <c r="C15" s="118" t="n">
        <f aca="false">SUM(C11:C14)</f>
        <v>88.75</v>
      </c>
      <c r="D15" s="118" t="n">
        <f aca="false">B15-C15</f>
        <v>11.25</v>
      </c>
      <c r="E15" s="117" t="str">
        <f aca="false">IF(C15&gt;B15,"🔴 SUPERADO","✅ AHORRO")</f>
        <v>✅ AHORRO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10.37"/>
    <col collapsed="false" customWidth="true" hidden="false" outlineLevel="0" max="2" min="2" style="0" width="25.63"/>
  </cols>
  <sheetData>
    <row r="1" customFormat="false" ht="15.75" hidden="false" customHeight="false" outlineLevel="0" collapsed="false">
      <c r="A1" s="82" t="s">
        <v>31</v>
      </c>
      <c r="B1" s="82" t="s">
        <v>33</v>
      </c>
      <c r="C1" s="82" t="s">
        <v>34</v>
      </c>
      <c r="D1" s="82" t="s">
        <v>36</v>
      </c>
      <c r="E1" s="82" t="s">
        <v>152</v>
      </c>
      <c r="F1" s="82" t="s">
        <v>111</v>
      </c>
    </row>
    <row r="2" customFormat="false" ht="15.75" hidden="false" customHeight="false" outlineLevel="0" collapsed="false">
      <c r="A2" s="83" t="n">
        <v>46239</v>
      </c>
      <c r="B2" s="84" t="s">
        <v>176</v>
      </c>
      <c r="C2" s="119" t="n">
        <v>41</v>
      </c>
      <c r="D2" s="84" t="s">
        <v>169</v>
      </c>
      <c r="E2" s="84" t="s">
        <v>39</v>
      </c>
      <c r="F2" s="84" t="s">
        <v>177</v>
      </c>
    </row>
    <row r="3" customFormat="false" ht="15.75" hidden="false" customHeight="false" outlineLevel="0" collapsed="false">
      <c r="A3" s="120" t="n">
        <v>46254</v>
      </c>
      <c r="B3" s="113" t="s">
        <v>178</v>
      </c>
      <c r="C3" s="119" t="n">
        <v>24</v>
      </c>
      <c r="D3" s="84" t="s">
        <v>169</v>
      </c>
      <c r="E3" s="84" t="s">
        <v>39</v>
      </c>
      <c r="F3" s="84" t="s">
        <v>179</v>
      </c>
    </row>
    <row r="4" customFormat="false" ht="15.75" hidden="false" customHeight="false" outlineLevel="0" collapsed="false">
      <c r="A4" s="120" t="n">
        <v>46254</v>
      </c>
      <c r="B4" s="113" t="s">
        <v>178</v>
      </c>
      <c r="C4" s="119" t="n">
        <v>12</v>
      </c>
      <c r="D4" s="84" t="s">
        <v>169</v>
      </c>
      <c r="E4" s="84" t="s">
        <v>39</v>
      </c>
      <c r="F4" s="84" t="s">
        <v>179</v>
      </c>
    </row>
    <row r="5" customFormat="false" ht="15.75" hidden="false" customHeight="false" outlineLevel="0" collapsed="false">
      <c r="C5" s="121" t="n">
        <f aca="false">SUM(C2:C4)</f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22.37"/>
    <col collapsed="false" customWidth="true" hidden="false" outlineLevel="0" max="2" min="2" style="0" width="31.75"/>
    <col collapsed="false" customWidth="true" hidden="false" outlineLevel="0" max="3" min="3" style="0" width="39.37"/>
    <col collapsed="false" customWidth="true" hidden="false" outlineLevel="0" max="4" min="4" style="0" width="27"/>
    <col collapsed="false" customWidth="true" hidden="false" outlineLevel="0" max="6" min="6" style="0" width="20.63"/>
    <col collapsed="false" customWidth="true" hidden="false" outlineLevel="0" max="7" min="7" style="0" width="25.75"/>
  </cols>
  <sheetData>
    <row r="1" customFormat="false" ht="15.75" hidden="false" customHeight="false" outlineLevel="0" collapsed="false">
      <c r="A1" s="82" t="s">
        <v>31</v>
      </c>
      <c r="B1" s="82" t="s">
        <v>180</v>
      </c>
      <c r="C1" s="82" t="s">
        <v>33</v>
      </c>
      <c r="D1" s="82" t="s">
        <v>34</v>
      </c>
      <c r="E1" s="82" t="s">
        <v>36</v>
      </c>
      <c r="F1" s="82" t="s">
        <v>152</v>
      </c>
      <c r="G1" s="82" t="s">
        <v>111</v>
      </c>
    </row>
    <row r="2" customFormat="false" ht="15.75" hidden="false" customHeight="false" outlineLevel="0" collapsed="false">
      <c r="A2" s="83" t="n">
        <v>46235</v>
      </c>
      <c r="B2" s="84" t="s">
        <v>181</v>
      </c>
      <c r="C2" s="84" t="s">
        <v>182</v>
      </c>
      <c r="D2" s="85" t="n">
        <v>26.38</v>
      </c>
      <c r="E2" s="84" t="s">
        <v>169</v>
      </c>
      <c r="F2" s="84" t="s">
        <v>39</v>
      </c>
      <c r="G2" s="84" t="s">
        <v>183</v>
      </c>
    </row>
    <row r="3" customFormat="false" ht="15.75" hidden="false" customHeight="false" outlineLevel="0" collapsed="false">
      <c r="A3" s="83" t="n">
        <v>46235</v>
      </c>
      <c r="B3" s="84" t="s">
        <v>181</v>
      </c>
      <c r="C3" s="84" t="s">
        <v>184</v>
      </c>
      <c r="D3" s="85" t="n">
        <v>35.14</v>
      </c>
      <c r="E3" s="84" t="s">
        <v>169</v>
      </c>
      <c r="F3" s="84" t="s">
        <v>39</v>
      </c>
      <c r="G3" s="84" t="s">
        <v>185</v>
      </c>
    </row>
    <row r="4" customFormat="false" ht="15.75" hidden="false" customHeight="false" outlineLevel="0" collapsed="false">
      <c r="A4" s="83" t="n">
        <v>46238</v>
      </c>
      <c r="B4" s="84" t="s">
        <v>181</v>
      </c>
      <c r="C4" s="84" t="s">
        <v>186</v>
      </c>
      <c r="D4" s="85" t="n">
        <v>25.5</v>
      </c>
      <c r="E4" s="84" t="s">
        <v>169</v>
      </c>
      <c r="F4" s="84" t="s">
        <v>39</v>
      </c>
      <c r="G4" s="84" t="s">
        <v>187</v>
      </c>
    </row>
    <row r="5" customFormat="false" ht="15.75" hidden="false" customHeight="false" outlineLevel="0" collapsed="false">
      <c r="C5" s="3" t="s">
        <v>44</v>
      </c>
      <c r="D5" s="122" t="n">
        <f aca="false">SUM(D2:D4)</f>
        <v>87.02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62890625" defaultRowHeight="15.75" zeroHeight="false" outlineLevelRow="0" outlineLevelCol="0"/>
  <cols>
    <col collapsed="false" customWidth="true" hidden="false" outlineLevel="0" max="3" min="3" style="0" width="28.75"/>
    <col collapsed="false" customWidth="true" hidden="false" outlineLevel="0" max="6" min="6" style="0" width="31.37"/>
    <col collapsed="false" customWidth="true" hidden="false" outlineLevel="0" max="7" min="7" style="0" width="30"/>
    <col collapsed="false" customWidth="true" hidden="false" outlineLevel="0" max="8" min="8" style="0" width="24.87"/>
  </cols>
  <sheetData>
    <row r="1" customFormat="false" ht="15.75" hidden="false" customHeight="false" outlineLevel="0" collapsed="false">
      <c r="A1" s="82" t="s">
        <v>31</v>
      </c>
      <c r="B1" s="82" t="s">
        <v>32</v>
      </c>
      <c r="C1" s="82" t="s">
        <v>33</v>
      </c>
      <c r="D1" s="82" t="s">
        <v>34</v>
      </c>
      <c r="E1" s="3" t="s">
        <v>36</v>
      </c>
      <c r="F1" s="82" t="s">
        <v>152</v>
      </c>
      <c r="G1" s="82" t="s">
        <v>56</v>
      </c>
      <c r="H1" s="82" t="s">
        <v>111</v>
      </c>
    </row>
    <row r="2" customFormat="false" ht="15.75" hidden="false" customHeight="false" outlineLevel="0" collapsed="false">
      <c r="A2" s="83" t="n">
        <v>46238</v>
      </c>
      <c r="B2" s="84" t="s">
        <v>58</v>
      </c>
      <c r="C2" s="84" t="s">
        <v>188</v>
      </c>
      <c r="D2" s="85" t="n">
        <v>40</v>
      </c>
      <c r="E2" s="84" t="s">
        <v>169</v>
      </c>
      <c r="F2" s="84" t="s">
        <v>189</v>
      </c>
      <c r="G2" s="84" t="s">
        <v>190</v>
      </c>
      <c r="H2" s="84" t="s">
        <v>8</v>
      </c>
    </row>
    <row r="3" customFormat="false" ht="15.75" hidden="false" customHeight="false" outlineLevel="0" collapsed="false">
      <c r="A3" s="83" t="n">
        <v>46239</v>
      </c>
      <c r="B3" s="84" t="s">
        <v>58</v>
      </c>
      <c r="C3" s="84" t="s">
        <v>191</v>
      </c>
      <c r="D3" s="123" t="n">
        <v>25</v>
      </c>
      <c r="E3" s="84" t="s">
        <v>169</v>
      </c>
      <c r="F3" s="84" t="s">
        <v>189</v>
      </c>
      <c r="G3" s="84" t="s">
        <v>192</v>
      </c>
      <c r="H3" s="84" t="s">
        <v>193</v>
      </c>
    </row>
    <row r="4" customFormat="false" ht="15.75" hidden="false" customHeight="false" outlineLevel="0" collapsed="false">
      <c r="A4" s="83" t="n">
        <v>46242</v>
      </c>
      <c r="B4" s="84" t="s">
        <v>58</v>
      </c>
      <c r="C4" s="84" t="s">
        <v>194</v>
      </c>
      <c r="D4" s="85" t="n">
        <v>40</v>
      </c>
      <c r="E4" s="84" t="s">
        <v>169</v>
      </c>
      <c r="F4" s="84" t="s">
        <v>189</v>
      </c>
      <c r="G4" s="84" t="s">
        <v>190</v>
      </c>
      <c r="H4" s="84" t="s">
        <v>8</v>
      </c>
    </row>
    <row r="5" customFormat="false" ht="15.75" hidden="false" customHeight="false" outlineLevel="0" collapsed="false">
      <c r="A5" s="83" t="n">
        <v>46242</v>
      </c>
      <c r="B5" s="84" t="s">
        <v>58</v>
      </c>
      <c r="C5" s="84" t="s">
        <v>195</v>
      </c>
      <c r="D5" s="123" t="n">
        <v>20</v>
      </c>
      <c r="E5" s="84" t="s">
        <v>169</v>
      </c>
      <c r="F5" s="84" t="s">
        <v>189</v>
      </c>
      <c r="G5" s="84" t="s">
        <v>190</v>
      </c>
      <c r="H5" s="84" t="s">
        <v>8</v>
      </c>
    </row>
    <row r="6" customFormat="false" ht="15.75" hidden="false" customHeight="false" outlineLevel="0" collapsed="false">
      <c r="A6" s="114"/>
      <c r="B6" s="108"/>
      <c r="C6" s="47" t="s">
        <v>44</v>
      </c>
      <c r="D6" s="124" t="n">
        <f aca="false">SUM(D2:D5)</f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0.62890625" defaultRowHeight="15.75" zeroHeight="false" outlineLevelRow="0" outlineLevelCol="0"/>
  <cols>
    <col collapsed="false" customWidth="true" hidden="false" outlineLevel="0" max="1" min="1" style="0" width="41.63"/>
    <col collapsed="false" customWidth="true" hidden="false" outlineLevel="0" max="2" min="2" style="0" width="39.63"/>
  </cols>
  <sheetData>
    <row r="1" customFormat="false" ht="15.75" hidden="false" customHeight="false" outlineLevel="0" collapsed="false">
      <c r="A1" s="82" t="s">
        <v>196</v>
      </c>
      <c r="B1" s="82" t="s">
        <v>197</v>
      </c>
      <c r="C1" s="82" t="s">
        <v>198</v>
      </c>
      <c r="D1" s="82" t="s">
        <v>44</v>
      </c>
    </row>
    <row r="2" customFormat="false" ht="15.75" hidden="false" customHeight="false" outlineLevel="0" collapsed="false">
      <c r="A2" s="125" t="s">
        <v>199</v>
      </c>
      <c r="B2" s="126" t="n">
        <v>19.24</v>
      </c>
      <c r="C2" s="127" t="n">
        <v>12</v>
      </c>
      <c r="D2" s="125" t="n">
        <f aca="false">+B2*C2</f>
        <v>230.88</v>
      </c>
    </row>
    <row r="3" customFormat="false" ht="15.75" hidden="false" customHeight="false" outlineLevel="0" collapsed="false">
      <c r="A3" s="125" t="s">
        <v>200</v>
      </c>
      <c r="B3" s="126" t="n">
        <v>29.17</v>
      </c>
      <c r="C3" s="127" t="n">
        <v>6</v>
      </c>
      <c r="D3" s="125" t="n">
        <f aca="false">+B3*C3</f>
        <v>175.02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true" showOutlineSymbols="true" defaultGridColor="true" view="normal" topLeftCell="A33" colorId="64" zoomScale="55" zoomScaleNormal="55" zoomScalePageLayoutView="100" workbookViewId="0">
      <selection pane="topLeft" activeCell="Y39" activeCellId="0" sqref="Y39"/>
    </sheetView>
  </sheetViews>
  <sheetFormatPr defaultColWidth="8.62890625" defaultRowHeight="15.75" zeroHeight="false" outlineLevelRow="0" outlineLevelCol="0"/>
  <cols>
    <col collapsed="false" customWidth="true" hidden="false" outlineLevel="0" max="1" min="1" style="0" width="3"/>
  </cols>
  <sheetData>
    <row r="1" customFormat="false" ht="19.7" hidden="false" customHeight="false" outlineLevel="0" collapsed="false">
      <c r="A1" s="128" t="s">
        <v>201</v>
      </c>
    </row>
    <row r="2" customFormat="false" ht="15.75" hidden="false" customHeight="false" outlineLevel="0" collapsed="false">
      <c r="A2" s="129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2026-08-04T17:04:07Z</dcterms:created>
  <dc:creator>ICCP-EDGAR_TIGRE</dc:creator>
  <dc:description/>
  <dc:language>en-US</dc:language>
  <cp:lastModifiedBy/>
  <dcterms:modified xsi:type="dcterms:W3CDTF">2026-08-31T18:46:28Z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